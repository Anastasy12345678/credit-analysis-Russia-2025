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редиты физ лицам 2025 год по м" sheetId="1" r:id="rId5"/>
    <sheet state="visible" name="Анализ" sheetId="2" r:id="rId6"/>
    <sheet state="visible" name="Объем кредитов по регионам" sheetId="3" r:id="rId7"/>
    <sheet state="visible" name="Доля регионов в объеме кредитов" sheetId="4" r:id="rId8"/>
    <sheet state="visible" name="Объем и задолженность по округа" sheetId="5" r:id="rId9"/>
    <sheet state="visible" name="Примечания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<sst xmlns="http://schemas.openxmlformats.org/spreadsheetml/2006/main" count="583" uniqueCount="196">
  <si>
    <t>Регионы</t>
  </si>
  <si>
    <t>Федеральные округа</t>
  </si>
  <si>
    <t>Объем общее (млн руб)</t>
  </si>
  <si>
    <t>Задолженность общее  (млн руб)</t>
  </si>
  <si>
    <t>Январь объем  (млн руб)</t>
  </si>
  <si>
    <t>Январь задолженность  (млн руб)</t>
  </si>
  <si>
    <t>Февраль объем  (млн руб)</t>
  </si>
  <si>
    <t>Февраль задолженность  (млн руб)</t>
  </si>
  <si>
    <t>Март объем  (млн руб)</t>
  </si>
  <si>
    <t>Март задолженность  (млн руб)</t>
  </si>
  <si>
    <t>Апрель объем  (млн руб)</t>
  </si>
  <si>
    <t>Апрель задолженность  (млн руб)</t>
  </si>
  <si>
    <t>Май объем  (млн руб)</t>
  </si>
  <si>
    <t>Май задолженность  (млн руб)</t>
  </si>
  <si>
    <t>Июнь объем  (млн руб)</t>
  </si>
  <si>
    <t>Июнь задолженность  (млн руб)</t>
  </si>
  <si>
    <t>Июль объем  (млн руб)</t>
  </si>
  <si>
    <t>Июль задолженность  (млн руб)</t>
  </si>
  <si>
    <t>Август объем  (млн руб)</t>
  </si>
  <si>
    <t>Август задолженность  (млн руб)</t>
  </si>
  <si>
    <t>Сентябрь объем  (млн руб)</t>
  </si>
  <si>
    <t>Сентябрь задолженность  (млн руб)</t>
  </si>
  <si>
    <t>Октябрь объем  (млн руб)</t>
  </si>
  <si>
    <t>Октябрь задолженность  (млн руб)</t>
  </si>
  <si>
    <t>Ноябрь объем  (млн руб)</t>
  </si>
  <si>
    <t>Ноябрь задолженность  (млн руб)</t>
  </si>
  <si>
    <t>Декабрь объем  (млн руб)</t>
  </si>
  <si>
    <t>Декабрь задолженность  (млн руб)</t>
  </si>
  <si>
    <t>г. Москва</t>
  </si>
  <si>
    <t>Московская область</t>
  </si>
  <si>
    <t>г. Санкт-Петербург</t>
  </si>
  <si>
    <t>Краснодарский край</t>
  </si>
  <si>
    <t>Тюменская область</t>
  </si>
  <si>
    <t>Свердловская область</t>
  </si>
  <si>
    <t>Республика Татарстан (Татарстан)</t>
  </si>
  <si>
    <t>Республика Башкортостан</t>
  </si>
  <si>
    <t>Ростовская область</t>
  </si>
  <si>
    <t>Челябинская область</t>
  </si>
  <si>
    <t>Новосибирская область</t>
  </si>
  <si>
    <t>Самарская область</t>
  </si>
  <si>
    <t>Нижегородская область</t>
  </si>
  <si>
    <t>Красноярский край</t>
  </si>
  <si>
    <t>Пермский край</t>
  </si>
  <si>
    <t>Иркутская область</t>
  </si>
  <si>
    <t>в том числе Ханты-Мансийский автономный округ - Югра</t>
  </si>
  <si>
    <t>Ленинградская область</t>
  </si>
  <si>
    <t>Тюменская область без данных по Ханты-Мансийскому автономному округу - Югре и Ямало-Ненецкому автономному округу</t>
  </si>
  <si>
    <t>Кемеровская область - Кузбасс</t>
  </si>
  <si>
    <t>Ставропольский край</t>
  </si>
  <si>
    <t>Воронежская область</t>
  </si>
  <si>
    <t>Приморский край</t>
  </si>
  <si>
    <t>Волгоградская область</t>
  </si>
  <si>
    <t>Саратовская область</t>
  </si>
  <si>
    <t>Оренбургская область</t>
  </si>
  <si>
    <t>Алтайский край</t>
  </si>
  <si>
    <t>Омская область</t>
  </si>
  <si>
    <t>Удмуртская Республика</t>
  </si>
  <si>
    <t>Хабаровский край</t>
  </si>
  <si>
    <t>Тульская область</t>
  </si>
  <si>
    <t>Белгородская область</t>
  </si>
  <si>
    <t>Республика Крым</t>
  </si>
  <si>
    <t>Калининградская область</t>
  </si>
  <si>
    <t>Республика Саха (Якутия)</t>
  </si>
  <si>
    <t>Чувашская Республика - Чувашия</t>
  </si>
  <si>
    <t>Архангельская область</t>
  </si>
  <si>
    <t>Владимирская область</t>
  </si>
  <si>
    <t>Архангельская область без данных по Ненецкому автономному округу</t>
  </si>
  <si>
    <t>Ярославская область</t>
  </si>
  <si>
    <t>Тверская область</t>
  </si>
  <si>
    <t>Кировская область</t>
  </si>
  <si>
    <t>Вологодская область</t>
  </si>
  <si>
    <t>Томская область</t>
  </si>
  <si>
    <t>Республика Бурятия</t>
  </si>
  <si>
    <t>Калужская область</t>
  </si>
  <si>
    <t>Пензенская область</t>
  </si>
  <si>
    <t>Ульяновская область</t>
  </si>
  <si>
    <t>Рязанская область</t>
  </si>
  <si>
    <t>Забайкальский край</t>
  </si>
  <si>
    <t>Липецкая область</t>
  </si>
  <si>
    <t>Мурманская область</t>
  </si>
  <si>
    <t>в том числе Ямало-Ненецкий автономный округ</t>
  </si>
  <si>
    <t>Брянская область</t>
  </si>
  <si>
    <t>Курская область</t>
  </si>
  <si>
    <t>Астраханская область</t>
  </si>
  <si>
    <t>Республика Дагестан</t>
  </si>
  <si>
    <t>Республика Коми</t>
  </si>
  <si>
    <t>Амурская область</t>
  </si>
  <si>
    <t>Смоленская область</t>
  </si>
  <si>
    <t>Ивановская область</t>
  </si>
  <si>
    <t>Тамбовская область</t>
  </si>
  <si>
    <t>Курганская область</t>
  </si>
  <si>
    <t>Сахалинская область</t>
  </si>
  <si>
    <t>Орловская область</t>
  </si>
  <si>
    <t>Республика Карелия</t>
  </si>
  <si>
    <t>Республика Мордовия</t>
  </si>
  <si>
    <t>Республика Марий Эл</t>
  </si>
  <si>
    <t>Костромская область</t>
  </si>
  <si>
    <t>Республика Хакасия</t>
  </si>
  <si>
    <t>Псковская область</t>
  </si>
  <si>
    <t>Новгородская область</t>
  </si>
  <si>
    <t>Республика Северная Осетия - Алания</t>
  </si>
  <si>
    <t>Республика Адыгея (Адыгея)</t>
  </si>
  <si>
    <t>Камчатский край</t>
  </si>
  <si>
    <t>Кабардино-Балкарская Республика</t>
  </si>
  <si>
    <t>г. Севастополь</t>
  </si>
  <si>
    <t>Республика Калмыкия</t>
  </si>
  <si>
    <t>Чеченская Республика</t>
  </si>
  <si>
    <t>Республика Тыва</t>
  </si>
  <si>
    <t>Карачаево-Черкесская Республика</t>
  </si>
  <si>
    <t>Магаданская область</t>
  </si>
  <si>
    <t>Республика Алтай</t>
  </si>
  <si>
    <t>Еврейская автономная область</t>
  </si>
  <si>
    <t>Чукотский автономный округ</t>
  </si>
  <si>
    <t>Республика Ингушетия</t>
  </si>
  <si>
    <t>в том числе Ненецкий автономный округ</t>
  </si>
  <si>
    <t>РОССИЙСКАЯ ФЕДЕРАЦИЯ</t>
  </si>
  <si>
    <t>Анализ данных по кредитам</t>
  </si>
  <si>
    <t>Цель: выявить ключевые закономерности и посмотреть, как объем выданных кредитов распределяется по регионам и месяцам</t>
  </si>
  <si>
    <t>Метрика</t>
  </si>
  <si>
    <t>Объем общее</t>
  </si>
  <si>
    <t>Задолженность общее</t>
  </si>
  <si>
    <t>Январь объем</t>
  </si>
  <si>
    <t>Январь задолженность</t>
  </si>
  <si>
    <t>Февраль объем</t>
  </si>
  <si>
    <t>Февраль задолженность</t>
  </si>
  <si>
    <t>Март объем</t>
  </si>
  <si>
    <t>Март задолженность</t>
  </si>
  <si>
    <t>Апрель объем</t>
  </si>
  <si>
    <t>Апрель задолженность</t>
  </si>
  <si>
    <t>Май объем</t>
  </si>
  <si>
    <t>Май задолженность</t>
  </si>
  <si>
    <t>Июнь объем</t>
  </si>
  <si>
    <t>Июнь задолженность</t>
  </si>
  <si>
    <t>Июль объем</t>
  </si>
  <si>
    <t>Июль задолженность</t>
  </si>
  <si>
    <t>Август объем</t>
  </si>
  <si>
    <t>Август задолженность</t>
  </si>
  <si>
    <t>Сентябрь объем</t>
  </si>
  <si>
    <t>Сентябрь задолженность</t>
  </si>
  <si>
    <t>Октябрь объем</t>
  </si>
  <si>
    <t>Октябрь задолженность</t>
  </si>
  <si>
    <t>Ноябрь объем</t>
  </si>
  <si>
    <t>Ноябрь задолженность</t>
  </si>
  <si>
    <t>Декабрь объем</t>
  </si>
  <si>
    <t>Декабрь задолженность</t>
  </si>
  <si>
    <t>Среднее значение</t>
  </si>
  <si>
    <t>Медиана</t>
  </si>
  <si>
    <t>Мода</t>
  </si>
  <si>
    <t>Минимум</t>
  </si>
  <si>
    <t>Максимум</t>
  </si>
  <si>
    <t>Вывод: Наибольшее среднее значение по объему выданных кредитов наблюдается в декабре 2025 года, по задолженности - тоже в декабре. Медиана по объему и задолженности растет от начала к концу года. Моду вычислить не представляется возможным, так как значения не повторяются. Минимальное значение по объему выданных кредитов наблюдается в январе, по задолженности значение меняется не критично и остается в области 12000 млн рублей. Максимальное значение по объему выданных кредитов наблюдается в декабре и достигает 32000 млн рублей, по задолженности - варьируется в области 42000-44000 млн рублей на протяжении 2025 года.</t>
  </si>
  <si>
    <t>ТОП-5 лидеров регионов по объему выданных кредитов и задолженности</t>
  </si>
  <si>
    <t>Объем</t>
  </si>
  <si>
    <t>Задолженность</t>
  </si>
  <si>
    <t>Вывод: Лидером и по объему выданных кредитов, и по объему задолженности в 2025 году является Москва, она занимает 12,57% от общего объема выданных кредитов среди регионов. Лидерами в 2025 году также стали Московская область, Санкт-Петербург, Краснодарский край и Тюменская область.</t>
  </si>
  <si>
    <t>ТОП-5 антилидеров регионов по объему выданных кредитов и задолженности</t>
  </si>
  <si>
    <t>Ненецкий автономный округ</t>
  </si>
  <si>
    <t>Вывод: Антилидером и по объему выданных кредитов, и по объему задолженности в 2025 году является Ненецкий автономный округ, он занимает 0,03% от общего объема выданных кредитов среди регионов. Антилидерами в 2025 году также стали республика Ингушентия, Чукотский автономный округ, Еврейская автономная область и республика Алтай.</t>
  </si>
  <si>
    <t>Вывод: динамика положительная. Все регионы демонстрируют рост объема кредитовот начала года к концу.</t>
  </si>
  <si>
    <t>Вывод: Самая большая доля в общем объеме выданных кредитов в 2025 года наблюдается у Москвы и составляет 12,57%. Остальные регионы занимают сравнительно небольшую долю по объему выданных кредитов. Самую маленькую долю занимает Ненецкий автономный округ, она составляет 0,03% от общего объема.</t>
  </si>
  <si>
    <t>Вывод: абсолютным лидером по объему выданных кредитов в 2025 году становится Москва. Объем выданных в ней кредитов составляет около 3000000 млн руб.</t>
  </si>
  <si>
    <t>SUM из Объем общее (млн руб)</t>
  </si>
  <si>
    <t>SUM из Февраль объем  (млн руб)</t>
  </si>
  <si>
    <t>SUM из Март объем  (млн руб)</t>
  </si>
  <si>
    <t>SUM из Апрель объем  (млн руб)</t>
  </si>
  <si>
    <t>SUM из Май объем  (млн руб)</t>
  </si>
  <si>
    <t>SUM из Июнь объем  (млн руб)</t>
  </si>
  <si>
    <t>SUM из Июль объем  (млн руб)</t>
  </si>
  <si>
    <t>SUM из Август объем  (млн руб)</t>
  </si>
  <si>
    <t>SUM из Сентябрь объем  (млн руб)</t>
  </si>
  <si>
    <t>SUM из Октябрь объем  (млн руб)</t>
  </si>
  <si>
    <t>SUM из Ноябрь объем  (млн руб)</t>
  </si>
  <si>
    <t>SUM из Декабрь объем  (млн руб)</t>
  </si>
  <si>
    <t>Итого</t>
  </si>
  <si>
    <t>Вывод: Динамика положительная и объем выданных кредитов растет от начала к концу года. Всего за год он составил, таким образом, 23 930 025 млн рублей.</t>
  </si>
  <si>
    <t>SUM из Январь объем  (млн руб)</t>
  </si>
  <si>
    <t>Вывод: стабильно самая большая доля по объему выданных кредитов пренадлежит Москве -- в области 12%, а иногда и 13% от общего объема. Остальные регионы составляют часто меньше 1% от общего объема выданных кредитов, и только некоторые занимают 1-2%.</t>
  </si>
  <si>
    <t>SUM из Задолженность общее  (млн руб)</t>
  </si>
  <si>
    <t>Всего (ДФО)</t>
  </si>
  <si>
    <t>Всего (ПФО)</t>
  </si>
  <si>
    <t>Всего (СЗФО)</t>
  </si>
  <si>
    <t>Всего (СКФО)</t>
  </si>
  <si>
    <t>Всего (СФО)</t>
  </si>
  <si>
    <t>Всего (УФО)</t>
  </si>
  <si>
    <t>Всего (ЦФО)</t>
  </si>
  <si>
    <t>Всего (ЮФО)</t>
  </si>
  <si>
    <t>Вывод: объем выданных кредитов в ЦФО в два раза больше, чем в ПФО и в УФО и в 3 раза больше, чем в ЮФО, в СФО и в СЗФО. Самая высокая задолженность тоже у ЦФО, она составляет 127 253 596 млн рублей, что примерно в два раза больше, чем в УФО, ПФО и в СФО. Наблюдается прямая зависимость между объемом выданных кредитов и задолженнностью, при этом общая задолженность превышает общий объем выданных кредитов в 19 раз.</t>
  </si>
  <si>
    <t>ЦФО</t>
  </si>
  <si>
    <t>ЮФО</t>
  </si>
  <si>
    <t>СЗФО</t>
  </si>
  <si>
    <t>ДФО</t>
  </si>
  <si>
    <t>СФО</t>
  </si>
  <si>
    <t>УФО</t>
  </si>
  <si>
    <t>ПФО</t>
  </si>
  <si>
    <t>СКФО</t>
  </si>
  <si>
    <t>Республика Северная Осетия — Алания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</si>
</sst>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sz val="11.0"/>
      <color rgb="FF000000"/>
      <name val="&quot;YS Text&quot;"/>
    </font>
    <font>
      <sz val="11.0"/>
      <color rgb="FF000000"/>
      <name val="Arial"/>
    </font>
    <font>
      <sz val="11.0"/>
      <color rgb="FF34343C"/>
      <name val="&quot;YS Text&quot;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3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2" numFmtId="49" xfId="0" applyFont="1" applyNumberFormat="1"/>
    <xf borderId="0" fillId="0" fontId="1" numFmtId="3" xfId="0" applyFont="1" applyNumberForma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3" xfId="0" applyFont="1" applyNumberFormat="1"/>
    <xf borderId="0" fillId="0" fontId="2" numFmtId="0" xfId="0" applyFont="1"/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10" xfId="0" applyFont="1" applyNumberFormat="1"/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4" numFmtId="0" xfId="0" applyAlignment="1" applyFill="1" applyFont="1">
      <alignment horizontal="left" readingOrder="0"/>
    </xf>
    <xf borderId="0" fillId="2" fontId="5" numFmtId="0" xfId="0" applyAlignment="1" applyFont="1">
      <alignment horizontal="left" readingOrder="0"/>
    </xf>
    <xf borderId="0" fillId="2" fontId="6" numFmtId="0" xfId="0" applyAlignment="1" applyFont="1">
      <alignment horizontal="left"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Доля регионов в общем объеме выданных кредитов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'Доля регионов в объеме кредитов'!$B$1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explosion val="0"/>
            <c:spPr>
              <a:solidFill>
                <a:srgbClr val="CC0000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EA9999"/>
              </a:solidFill>
            </c:spPr>
          </c:dPt>
          <c:dPt>
            <c:idx val="25"/>
            <c:spPr>
              <a:solidFill>
                <a:srgbClr val="E6B8AF"/>
              </a:solidFill>
            </c:spPr>
          </c:dPt>
          <c:dPt>
            <c:idx val="26"/>
            <c:spPr>
              <a:solidFill>
                <a:srgbClr val="DD7E6B"/>
              </a:solidFill>
            </c:spPr>
          </c:dPt>
          <c:dPt>
            <c:idx val="27"/>
            <c:spPr>
              <a:solidFill>
                <a:srgbClr val="A2C4C9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6D9EEB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674EA7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Pt>
            <c:idx val="40"/>
            <c:spPr>
              <a:solidFill>
                <a:srgbClr val="FF74CA"/>
              </a:solidFill>
            </c:spPr>
          </c:dPt>
          <c:dPt>
            <c:idx val="41"/>
            <c:spPr>
              <a:solidFill>
                <a:srgbClr val="93342D"/>
              </a:solidFill>
            </c:spPr>
          </c:dPt>
          <c:dPt>
            <c:idx val="42"/>
            <c:spPr>
              <a:solidFill>
                <a:srgbClr val="CF850B"/>
              </a:solidFill>
            </c:spPr>
          </c:dPt>
          <c:dPt>
            <c:idx val="43"/>
            <c:spPr>
              <a:solidFill>
                <a:srgbClr val="16CEDD"/>
              </a:solidFill>
            </c:spPr>
          </c:dPt>
          <c:dPt>
            <c:idx val="44"/>
            <c:spPr>
              <a:solidFill>
                <a:srgbClr val="034913"/>
              </a:solidFill>
            </c:spPr>
          </c:dPt>
          <c:dPt>
            <c:idx val="45"/>
            <c:spPr>
              <a:solidFill>
                <a:srgbClr val="DE5FBC"/>
              </a:solidFill>
            </c:spPr>
          </c:dPt>
          <c:dPt>
            <c:idx val="46"/>
            <c:spPr>
              <a:solidFill>
                <a:srgbClr val="FFA016"/>
              </a:solidFill>
            </c:spPr>
          </c:dPt>
          <c:dPt>
            <c:idx val="47"/>
            <c:spPr>
              <a:solidFill>
                <a:srgbClr val="CA483E"/>
              </a:solidFill>
            </c:spPr>
          </c:dPt>
          <c:dPt>
            <c:idx val="48"/>
            <c:spPr>
              <a:solidFill>
                <a:srgbClr val="08AA0E"/>
              </a:solidFill>
            </c:spPr>
          </c:dPt>
          <c:dPt>
            <c:idx val="49"/>
            <c:spPr>
              <a:solidFill>
                <a:srgbClr val="1C061A"/>
              </a:solidFill>
            </c:spPr>
          </c:dPt>
          <c:dPt>
            <c:idx val="50"/>
            <c:spPr>
              <a:solidFill>
                <a:srgbClr val="055D5E"/>
              </a:solidFill>
            </c:spPr>
          </c:dPt>
          <c:dPt>
            <c:idx val="51"/>
            <c:spPr>
              <a:solidFill>
                <a:srgbClr val="1B79F0"/>
              </a:solidFill>
            </c:spPr>
          </c:dPt>
          <c:dPt>
            <c:idx val="52"/>
            <c:spPr>
              <a:solidFill>
                <a:srgbClr val="FFCB63"/>
              </a:solidFill>
            </c:spPr>
          </c:dPt>
          <c:dPt>
            <c:idx val="53"/>
            <c:spPr>
              <a:solidFill>
                <a:srgbClr val="025B4F"/>
              </a:solidFill>
            </c:spPr>
          </c:dPt>
          <c:dPt>
            <c:idx val="54"/>
            <c:spPr>
              <a:solidFill>
                <a:srgbClr val="40CE12"/>
              </a:solidFill>
            </c:spPr>
          </c:dPt>
          <c:dPt>
            <c:idx val="55"/>
            <c:spPr>
              <a:solidFill>
                <a:srgbClr val="233F56"/>
              </a:solidFill>
            </c:spPr>
          </c:dPt>
          <c:dPt>
            <c:idx val="56"/>
            <c:spPr>
              <a:solidFill>
                <a:srgbClr val="0671AA"/>
              </a:solidFill>
            </c:spPr>
          </c:dPt>
          <c:dPt>
            <c:idx val="57"/>
            <c:spPr>
              <a:solidFill>
                <a:srgbClr val="589323"/>
              </a:solidFill>
            </c:spPr>
          </c:dPt>
          <c:dPt>
            <c:idx val="58"/>
            <c:spPr>
              <a:solidFill>
                <a:srgbClr val="FFF7AF"/>
              </a:solidFill>
            </c:spPr>
          </c:dPt>
          <c:dPt>
            <c:idx val="59"/>
            <c:spPr>
              <a:solidFill>
                <a:srgbClr val="3A6F60"/>
              </a:solidFill>
            </c:spPr>
          </c:dPt>
          <c:dPt>
            <c:idx val="60"/>
            <c:spPr>
              <a:solidFill>
                <a:srgbClr val="79F315"/>
              </a:solidFill>
            </c:spPr>
          </c:dPt>
          <c:dPt>
            <c:idx val="61"/>
            <c:spPr>
              <a:solidFill>
                <a:srgbClr val="297793"/>
              </a:solidFill>
            </c:spPr>
          </c:dPt>
          <c:dPt>
            <c:idx val="62"/>
            <c:spPr>
              <a:solidFill>
                <a:srgbClr val="0785F5"/>
              </a:solidFill>
            </c:spPr>
          </c:dPt>
          <c:dPt>
            <c:idx val="63"/>
            <c:spPr>
              <a:solidFill>
                <a:srgbClr val="95AD57"/>
              </a:solidFill>
            </c:spPr>
          </c:dPt>
          <c:dPt>
            <c:idx val="64"/>
            <c:spPr>
              <a:solidFill>
                <a:srgbClr val="FF23FB"/>
              </a:solidFill>
            </c:spPr>
          </c:dPt>
          <c:dPt>
            <c:idx val="65"/>
            <c:spPr>
              <a:solidFill>
                <a:srgbClr val="718371"/>
              </a:solidFill>
            </c:spPr>
          </c:dPt>
          <c:dPt>
            <c:idx val="66"/>
            <c:spPr>
              <a:solidFill>
                <a:srgbClr val="B21818"/>
              </a:solidFill>
            </c:spPr>
          </c:dPt>
          <c:dPt>
            <c:idx val="67"/>
            <c:spPr>
              <a:solidFill>
                <a:srgbClr val="2FAFD0"/>
              </a:solidFill>
            </c:spPr>
          </c:dPt>
          <c:dPt>
            <c:idx val="68"/>
            <c:spPr>
              <a:solidFill>
                <a:srgbClr val="089940"/>
              </a:solidFill>
            </c:spPr>
          </c:dPt>
          <c:dPt>
            <c:idx val="69"/>
            <c:spPr>
              <a:solidFill>
                <a:srgbClr val="D2C78B"/>
              </a:solidFill>
            </c:spPr>
          </c:dPt>
          <c:dPt>
            <c:idx val="70"/>
            <c:spPr>
              <a:solidFill>
                <a:srgbClr val="FF4F47"/>
              </a:solidFill>
            </c:spPr>
          </c:dPt>
          <c:dPt>
            <c:idx val="71"/>
            <c:spPr>
              <a:solidFill>
                <a:srgbClr val="A99782"/>
              </a:solidFill>
            </c:spPr>
          </c:dPt>
          <c:dPt>
            <c:idx val="72"/>
            <c:spPr>
              <a:solidFill>
                <a:srgbClr val="EA3C1C"/>
              </a:solidFill>
            </c:spPr>
          </c:dPt>
          <c:dPt>
            <c:idx val="73"/>
            <c:spPr>
              <a:solidFill>
                <a:srgbClr val="36E80C"/>
              </a:solidFill>
            </c:spPr>
          </c:dPt>
          <c:dPt>
            <c:idx val="74"/>
            <c:spPr>
              <a:solidFill>
                <a:srgbClr val="09AD8C"/>
              </a:solidFill>
            </c:spPr>
          </c:dPt>
          <c:dPt>
            <c:idx val="75"/>
            <c:spPr>
              <a:solidFill>
                <a:srgbClr val="0FE1BE"/>
              </a:solidFill>
            </c:spPr>
          </c:dPt>
          <c:dPt>
            <c:idx val="76"/>
            <c:spPr>
              <a:solidFill>
                <a:srgbClr val="FF7B93"/>
              </a:solidFill>
            </c:spPr>
          </c:dPt>
          <c:dPt>
            <c:idx val="77"/>
            <c:spPr>
              <a:solidFill>
                <a:srgbClr val="E0AB93"/>
              </a:solidFill>
            </c:spPr>
          </c:dPt>
          <c:dPt>
            <c:idx val="78"/>
            <c:spPr>
              <a:solidFill>
                <a:srgbClr val="F9CB9C"/>
              </a:solidFill>
            </c:spPr>
          </c:dPt>
          <c:dPt>
            <c:idx val="79"/>
            <c:spPr>
              <a:solidFill>
                <a:srgbClr val="FFD966"/>
              </a:solidFill>
            </c:spPr>
          </c:dPt>
          <c:dPt>
            <c:idx val="80"/>
            <c:spPr>
              <a:solidFill>
                <a:srgbClr val="0BC1D7"/>
              </a:solidFill>
            </c:spPr>
          </c:dPt>
          <c:dPt>
            <c:idx val="81"/>
            <c:spPr>
              <a:solidFill>
                <a:srgbClr val="4CFBF2"/>
              </a:solidFill>
            </c:spPr>
          </c:dPt>
          <c:dPt>
            <c:idx val="82"/>
            <c:spPr>
              <a:solidFill>
                <a:srgbClr val="FFA6E0"/>
              </a:solidFill>
            </c:spPr>
          </c:dPt>
          <c:dPt>
            <c:idx val="83"/>
            <c:spPr>
              <a:solidFill>
                <a:srgbClr val="18BEA4"/>
              </a:solidFill>
            </c:spPr>
          </c:dPt>
          <c:dPt>
            <c:idx val="84"/>
            <c:spPr>
              <a:solidFill>
                <a:srgbClr val="5C8522"/>
              </a:solidFill>
            </c:spPr>
          </c:dPt>
          <c:dPt>
            <c:idx val="85"/>
            <c:spPr>
              <a:solidFill>
                <a:srgbClr val="425985"/>
              </a:solidFill>
            </c:spPr>
          </c:dPt>
          <c:dPt>
            <c:idx val="86"/>
            <c:spPr>
              <a:solidFill>
                <a:srgbClr val="0CD52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'Доля регионов в объеме кредитов'!$A$2:$A$88</c:f>
            </c:strRef>
          </c:cat>
          <c:val>
            <c:numRef>
              <c:f>'Доля регионов в объеме кредитов'!$B$2:$B$88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47</xdr:row>
      <xdr:rowOff>180975</xdr:rowOff>
    </xdr:from>
    <xdr:ext cx="7219950" cy="534352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77</xdr:row>
      <xdr:rowOff>19050</xdr:rowOff>
    </xdr:from>
    <xdr:ext cx="7219950" cy="3533775"/>
    <xdr:pic>
      <xdr:nvPicPr>
        <xdr:cNvPr id="829284443" name="Chart2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88" sheet="Кредиты физ лицам 2025 год по м"/>
  </cacheSource>
  <cacheFields>
    <cacheField name="Регионы" numFmtId="49">
      <sharedItems>
        <s v="г. Москва"/>
        <s v="Московская область"/>
        <s v="г. Санкт-Петербург"/>
        <s v="Краснодарский край"/>
        <s v="Тюменская область"/>
        <s v="Свердловская область"/>
        <s v="Республика Татарстан (Татарстан)"/>
        <s v="Республика Башкортостан"/>
        <s v="Ростовская область"/>
        <s v="Челябинская область"/>
        <s v="Новосибирская область"/>
        <s v="Самарская область"/>
        <s v="Нижегородская область"/>
        <s v="Красноярский край"/>
        <s v="Пермский край"/>
        <s v="Иркутская область"/>
        <s v="в том числе Ханты-Мансийский автономный округ - Югра"/>
        <s v="Ленинградская область"/>
        <s v="Тюменская область без данных по Ханты-Мансийскому автономному округу - Югре и Ямало-Ненецкому автономному округу"/>
        <s v="Кемеровская область - Кузбасс"/>
        <s v="Ставропольский край"/>
        <s v="Воронежская область"/>
        <s v="Приморский край"/>
        <s v="Волгоградская область"/>
        <s v="Саратовская область"/>
        <s v="Оренбургская область"/>
        <s v="Алтайский край"/>
        <s v="Омская область"/>
        <s v="Удмуртская Республика"/>
        <s v="Хабаровский край"/>
        <s v="Тульская область"/>
        <s v="Белгородская область"/>
        <s v="Республика Крым"/>
        <s v="Калининградская область"/>
        <s v="Республика Саха (Якутия)"/>
        <s v="Чувашская Республика - Чувашия"/>
        <s v="Архангельская область"/>
        <s v="Владимирская область"/>
        <s v="Архангельская область без данных по Ненецкому автономному округу"/>
        <s v="Ярославская область"/>
        <s v="Тверская область"/>
        <s v="Кировская область"/>
        <s v="Вологодская область"/>
        <s v="Томская область"/>
        <s v="Республика Бурятия"/>
        <s v="Калужская область"/>
        <s v="Пензенская область"/>
        <s v="Ульяновская область"/>
        <s v="Рязанская область"/>
        <s v="Забайкальский край"/>
        <s v="Липецкая область"/>
        <s v="Мурманская область"/>
        <s v="в том числе Ямало-Ненецкий автономный округ"/>
        <s v="Брянская область"/>
        <s v="Курская область"/>
        <s v="Астраханская область"/>
        <s v="Республика Дагестан"/>
        <s v="Республика Коми"/>
        <s v="Амурская область"/>
        <s v="Смоленская область"/>
        <s v="Ивановская область"/>
        <s v="Тамбовская область"/>
        <s v="Курганская область"/>
        <s v="Сахалинская область"/>
        <s v="Орловская область"/>
        <s v="Республика Карелия"/>
        <s v="Республика Мордовия"/>
        <s v="Республика Марий Эл"/>
        <s v="Костромская область"/>
        <s v="Республика Хакасия"/>
        <s v="Псковская область"/>
        <s v="Новгородская область"/>
        <s v="Республика Северная Осетия - Алания"/>
        <s v="Республика Адыгея (Адыгея)"/>
        <s v="Камчатский край"/>
        <s v="Кабардино-Балкарская Республика"/>
        <s v="г. Севастополь"/>
        <s v="Республика Калмыкия"/>
        <s v="Чеченская Республика"/>
        <s v="Республика Тыва"/>
        <s v="Карачаево-Черкесская Республика"/>
        <s v="Магаданская область"/>
        <s v="Республика Алтай"/>
        <s v="Еврейская автономная область"/>
        <s v="Чукотский автономный округ"/>
        <s v="Республика Ингушетия"/>
        <s v="в том числе Ненецкий автономный округ"/>
      </sharedItems>
    </cacheField>
    <cacheField name="Федеральные округа" numFmtId="49">
      <sharedItems>
        <s v="ЦФО"/>
        <s v="СЗФО"/>
        <s v="ЮФО"/>
        <s v="УФО"/>
        <s v="ПФО"/>
        <s v="СФО"/>
        <s v="СКФО"/>
        <s v="ДФО"/>
      </sharedItems>
    </cacheField>
    <cacheField name="Объем общее (млн руб)" numFmtId="3">
      <sharedItems containsSemiMixedTypes="0" containsString="0" containsNumber="1" containsInteger="1">
        <n v="3007763.0"/>
        <n v="1804595.0"/>
        <n v="1260287.0"/>
        <n v="950912.0"/>
        <n v="834483.0"/>
        <n v="735598.0"/>
        <n v="652959.0"/>
        <n v="596428.0"/>
        <n v="589286.0"/>
        <n v="508567.0"/>
        <n v="478363.0"/>
        <n v="452202.0"/>
        <n v="446933.0"/>
        <n v="443731.0"/>
        <n v="416245.0"/>
        <n v="362780.0"/>
        <n v="356633.0"/>
        <n v="354290.0"/>
        <n v="345490.0"/>
        <n v="342277.0"/>
        <n v="327387.0"/>
        <n v="300907.0"/>
        <n v="300331.0"/>
        <n v="287681.0"/>
        <n v="283621.0"/>
        <n v="276528.0"/>
        <n v="266068.0"/>
        <n v="263946.0"/>
        <n v="240929.0"/>
        <n v="214358.0"/>
        <n v="201958.0"/>
        <n v="194701.0"/>
        <n v="191608.0"/>
        <n v="186914.0"/>
        <n v="177903.0"/>
        <n v="173059.0"/>
        <n v="171042.0"/>
        <n v="165694.0"/>
        <n v="164201.0"/>
        <n v="164183.0"/>
        <n v="162179.0"/>
        <n v="158642.0"/>
        <n v="156456.0"/>
        <n v="154469.0"/>
        <n v="153373.0"/>
        <n v="151712.0"/>
        <n v="149802.0"/>
        <n v="146886.0"/>
        <n v="145976.0"/>
        <n v="141607.0"/>
        <n v="138884.0"/>
        <n v="132800.0"/>
        <n v="132358.0"/>
        <n v="131571.0"/>
        <n v="131355.0"/>
        <n v="127386.0"/>
        <n v="120680.0"/>
        <n v="117631.0"/>
        <n v="117080.0"/>
        <n v="113071.0"/>
        <n v="108135.0"/>
        <n v="102235.0"/>
        <n v="100688.0"/>
        <n v="95262.0"/>
        <n v="87423.0"/>
        <n v="87004.0"/>
        <n v="86411.0"/>
        <n v="83482.0"/>
        <n v="76421.0"/>
        <n v="74724.0"/>
        <n v="73055.0"/>
        <n v="72624.0"/>
        <n v="68936.0"/>
        <n v="62186.0"/>
        <n v="60737.0"/>
        <n v="59834.0"/>
        <n v="59445.0"/>
        <n v="52429.0"/>
        <n v="49180.0"/>
        <n v="47947.0"/>
        <n v="38345.0"/>
        <n v="30862.0"/>
        <n v="29337.0"/>
        <n v="17997.0"/>
        <n v="10941.0"/>
        <n v="10785.0"/>
        <n v="6841.0"/>
      </sharedItems>
    </cacheField>
    <cacheField name="Задолженность общее  (млн руб)" numFmtId="3">
      <sharedItems containsSemiMixedTypes="0" containsString="0" containsNumber="1" containsInteger="1">
        <n v="5.1422135E7"/>
        <n v="3.4616205E7"/>
        <n v="2.2320395E7"/>
        <n v="1.8679592E7"/>
        <n v="1.7587655E7"/>
        <n v="1.317261E7"/>
        <n v="1.3558441E7"/>
        <n v="1.2573577E7"/>
        <n v="1.0495448E7"/>
        <n v="8701496.0"/>
        <n v="9356891.0"/>
        <n v="7196556.0"/>
        <n v="7255010.0"/>
        <n v="8544450.0"/>
        <n v="7240512.0"/>
        <n v="6836268.0"/>
        <n v="7974792.0"/>
        <n v="7013300.0"/>
        <n v="6590966.0"/>
        <n v="6066116.0"/>
        <n v="6214732.0"/>
        <n v="5273758.0"/>
        <n v="6486716.0"/>
        <n v="4842355.0"/>
        <n v="4613230.0"/>
        <n v="4962852.0"/>
        <n v="4808783.0"/>
        <n v="4534205.0"/>
        <n v="4858404.0"/>
        <n v="4309102.0"/>
        <n v="3827932.0"/>
        <n v="3355111.0"/>
        <n v="2353464.0"/>
        <n v="2874493.0"/>
        <n v="4892858.0"/>
        <n v="3031109.0"/>
        <n v="3205211.0"/>
        <n v="2740013.0"/>
        <n v="3059784.0"/>
        <n v="2674576.0"/>
        <n v="2936335.0"/>
        <n v="2753740.0"/>
        <n v="2728585.0"/>
        <n v="2692484.0"/>
        <n v="2820029.0"/>
        <n v="2871572.0"/>
        <n v="2821705.0"/>
        <n v="2620073.0"/>
        <n v="2713376.0"/>
        <n v="2847621.0"/>
        <n v="2251686.0"/>
        <n v="2250925.0"/>
        <n v="3021897.0"/>
        <n v="2204219.0"/>
        <n v="2277412.0"/>
        <n v="2533890.0"/>
        <n v="2372236.0"/>
        <n v="2159989.0"/>
        <n v="2572197.0"/>
        <n v="1842282.0"/>
        <n v="1684131.0"/>
        <n v="1766591.0"/>
        <n v="1861155.0"/>
        <n v="2027095.0"/>
        <n v="1529536.0"/>
        <n v="1544124.0"/>
        <n v="1479310.0"/>
        <n v="1360690.0"/>
        <n v="1266397.0"/>
        <n v="1415635.0"/>
        <n v="1192038.0"/>
        <n v="1220228.0"/>
        <n v="1356859.0"/>
        <n v="1232978.0"/>
        <n v="1145397.0"/>
        <n v="1146512.0"/>
        <n v="768425.0"/>
        <n v="1048444.0"/>
        <n v="1016260.0"/>
        <n v="1643189.0"/>
        <n v="863918.0"/>
        <n v="590549.0"/>
        <n v="508083.0"/>
        <n v="340084.0"/>
        <n v="240590.0"/>
        <n v="193280.0"/>
        <n v="145427.0"/>
      </sharedItems>
    </cacheField>
    <cacheField name="Январь объем  (млн руб)" numFmtId="3">
      <sharedItems containsSemiMixedTypes="0" containsString="0" containsNumber="1" containsInteger="1">
        <n v="186725.0"/>
        <n v="111429.0"/>
        <n v="75195.0"/>
        <n v="59494.0"/>
        <n v="48313.0"/>
        <n v="45186.0"/>
        <n v="36151.0"/>
        <n v="34209.0"/>
        <n v="35128.0"/>
        <n v="30583.0"/>
        <n v="28964.0"/>
        <n v="27962.0"/>
        <n v="27770.0"/>
        <n v="27193.0"/>
        <n v="24502.0"/>
        <n v="22358.0"/>
        <n v="20361.0"/>
        <n v="20740.0"/>
        <n v="20169.0"/>
        <n v="21444.0"/>
        <n v="19670.0"/>
        <n v="18334.0"/>
        <n v="18190.0"/>
        <n v="18222.0"/>
        <n v="17186.0"/>
        <n v="15939.0"/>
        <n v="16360.0"/>
        <n v="16562.0"/>
        <n v="13264.0"/>
        <n v="12714.0"/>
        <n v="12044.0"/>
        <n v="11366.0"/>
        <n v="13718.0"/>
        <n v="11273.0"/>
        <n v="9733.0"/>
        <n v="10178.0"/>
        <n v="9692.0"/>
        <n v="10059.0"/>
        <n v="9310.0"/>
        <n v="10113.0"/>
        <n v="9839.0"/>
        <n v="9245.0"/>
        <n v="9281.0"/>
        <n v="9345.0"/>
        <n v="8657.0"/>
        <n v="9166.0"/>
        <n v="8833.0"/>
        <n v="9144.0"/>
        <n v="8621.0"/>
        <n v="8291.0"/>
        <n v="8608.0"/>
        <n v="7896.0"/>
        <n v="7783.0"/>
        <n v="7899.0"/>
        <n v="7508.0"/>
        <n v="7564.0"/>
        <n v="8723.0"/>
        <n v="6943.0"/>
        <n v="6783.0"/>
        <n v="7076.0"/>
        <n v="6554.0"/>
        <n v="6161.0"/>
        <n v="5836.0"/>
        <n v="5187.0"/>
        <n v="5389.0"/>
        <n v="5216.0"/>
        <n v="5064.0"/>
        <n v="4823.0"/>
        <n v="4416.0"/>
        <n v="4471.0"/>
        <n v="4528.0"/>
        <n v="4285.0"/>
        <n v="4564.0"/>
        <n v="3650.0"/>
        <n v="3711.0"/>
        <n v="3839.0"/>
        <n v="4173.0"/>
        <n v="2928.0"/>
        <n v="3493.0"/>
        <n v="2844.0"/>
        <n v="2431.0"/>
        <n v="1852.0"/>
        <n v="1742.0"/>
        <n v="1059.0"/>
        <n v="609.0"/>
        <n v="772.0"/>
        <n v="382.0"/>
      </sharedItems>
    </cacheField>
    <cacheField name="Январь задолженность  (млн руб)" numFmtId="3">
      <sharedItems containsSemiMixedTypes="0" containsString="0" containsNumber="1" containsInteger="1">
        <n v="4208666.0"/>
        <n v="2855222.0"/>
        <n v="1830749.0"/>
        <n v="1530523.0"/>
        <n v="1454366.0"/>
        <n v="1088021.0"/>
        <n v="1109504.0"/>
        <n v="1041904.0"/>
        <n v="862591.0"/>
        <n v="721272.0"/>
        <n v="775907.0"/>
        <n v="601169.0"/>
        <n v="599759.0"/>
        <n v="715123.0"/>
        <n v="594223.0"/>
        <n v="574368.0"/>
        <n v="662411.0"/>
        <n v="576362.0"/>
        <n v="537927.0"/>
        <n v="510640.0"/>
        <n v="514535.0"/>
        <n v="435868.0"/>
        <n v="533615.0"/>
        <n v="402604.0"/>
        <n v="387147.0"/>
        <n v="410724.0"/>
        <n v="402227.0"/>
        <n v="378209.0"/>
        <n v="394257.0"/>
        <n v="354073.0"/>
        <n v="316359.0"/>
        <n v="277856.0"/>
        <n v="189305.0"/>
        <n v="234954.0"/>
        <n v="403742.0"/>
        <n v="249040.0"/>
        <n v="265055.0"/>
        <n v="227876.0"/>
        <n v="252804.0"/>
        <n v="220382.0"/>
        <n v="243556.0"/>
        <n v="227593.0"/>
        <n v="226436.0"/>
        <n v="223754.0"/>
        <n v="224707.0"/>
        <n v="238442.0"/>
        <n v="234964.0"/>
        <n v="218102.0"/>
        <n v="223920.0"/>
        <n v="233751.0"/>
        <n v="186562.0"/>
        <n v="189766.0"/>
        <n v="254028.0"/>
        <n v="182755.0"/>
        <n v="188478.0"/>
        <n v="206804.0"/>
        <n v="198842.0"/>
        <n v="182113.0"/>
        <n v="212392.0"/>
        <n v="153553.0"/>
        <n v="139977.0"/>
        <n v="147262.0"/>
        <n v="153498.0"/>
        <n v="166708.0"/>
        <n v="127495.0"/>
        <n v="129984.0"/>
        <n v="121710.0"/>
        <n v="111294.0"/>
        <n v="103861.0"/>
        <n v="117972.0"/>
        <n v="99582.0"/>
        <n v="101752.0"/>
        <n v="113332.0"/>
        <n v="100424.0"/>
        <n v="96159.0"/>
        <n v="95449.0"/>
        <n v="61951.0"/>
        <n v="83759.0"/>
        <n v="86597.0"/>
        <n v="133359.0"/>
        <n v="72238.0"/>
        <n v="49941.0"/>
        <n v="41930.0"/>
        <n v="28520.0"/>
        <n v="20323.0"/>
        <n v="17056.0"/>
        <n v="12252.0"/>
      </sharedItems>
    </cacheField>
    <cacheField name="Февраль объем  (млн руб)" numFmtId="3">
      <sharedItems containsSemiMixedTypes="0" containsString="0" containsNumber="1" containsInteger="1">
        <n v="205325.0"/>
        <n v="120510.0"/>
        <n v="82778.0"/>
        <n v="62019.0"/>
        <n v="52342.0"/>
        <n v="47782.0"/>
        <n v="40307.0"/>
        <n v="37233.0"/>
        <n v="36545.0"/>
        <n v="33054.0"/>
        <n v="31224.0"/>
        <n v="29402.0"/>
        <n v="28862.0"/>
        <n v="28415.0"/>
        <n v="26188.0"/>
        <n v="23234.0"/>
        <n v="22174.0"/>
        <n v="22610.0"/>
        <n v="21849.0"/>
        <n v="22496.0"/>
        <n v="20505.0"/>
        <n v="19495.0"/>
        <n v="20380.0"/>
        <n v="18785.0"/>
        <n v="18159.0"/>
        <n v="16889.0"/>
        <n v="17266.0"/>
        <n v="17581.0"/>
        <n v="14567.0"/>
        <n v="13925.0"/>
        <n v="13025.0"/>
        <n v="12225.0"/>
        <n v="14197.0"/>
        <n v="12105.0"/>
        <n v="10085.0"/>
        <n v="11129.0"/>
        <n v="10931.0"/>
        <n v="10981.0"/>
        <n v="10508.0"/>
        <n v="11090.0"/>
        <n v="10377.0"/>
        <n v="10277.0"/>
        <n v="10035.0"/>
        <n v="10058.0"/>
        <n v="9882.0"/>
        <n v="9966.0"/>
        <n v="9795.0"/>
        <n v="9349.0"/>
        <n v="9409.0"/>
        <n v="8843.0"/>
        <n v="9079.0"/>
        <n v="8242.0"/>
        <n v="8318.0"/>
        <n v="8493.0"/>
        <n v="7986.0"/>
        <n v="7860.0"/>
        <n v="8745.0"/>
        <n v="7360.0"/>
        <n v="7422.0"/>
        <n v="7690.0"/>
        <n v="7199.0"/>
        <n v="6513.0"/>
        <n v="6431.0"/>
        <n v="5717.0"/>
        <n v="5763.0"/>
        <n v="5546.0"/>
        <n v="5628.0"/>
        <n v="5204.0"/>
        <n v="4648.0"/>
        <n v="4864.0"/>
        <n v="4811.0"/>
        <n v="4731.0"/>
        <n v="4737.0"/>
        <n v="3843.0"/>
        <n v="3987.0"/>
        <n v="3785.0"/>
        <n v="4459.0"/>
        <n v="2944.0"/>
        <n v="3555.0"/>
        <n v="2845.0"/>
        <n v="2411.0"/>
        <n v="1886.0"/>
        <n v="1842.0"/>
        <n v="1212.0"/>
        <n v="612.0"/>
        <n v="780.0"/>
        <n v="423.0"/>
      </sharedItems>
    </cacheField>
    <cacheField name="Февраль задолженность  (млн руб)" numFmtId="3">
      <sharedItems containsSemiMixedTypes="0" containsString="0" containsNumber="1" containsInteger="1">
        <n v="4209311.0"/>
        <n v="2849673.0"/>
        <n v="1826667.0"/>
        <n v="1527763.0"/>
        <n v="1449306.0"/>
        <n v="1083727.0"/>
        <n v="1106154.0"/>
        <n v="1037421.0"/>
        <n v="859371.0"/>
        <n v="717953.0"/>
        <n v="773096.0"/>
        <n v="597050.0"/>
        <n v="597184.0"/>
        <n v="710924.0"/>
        <n v="591998.0"/>
        <n v="570715.0"/>
        <n v="659993.0"/>
        <n v="574586.0"/>
        <n v="536782.0"/>
        <n v="506877.0"/>
        <n v="512217.0"/>
        <n v="434156.0"/>
        <n v="533603.0"/>
        <n v="400593.0"/>
        <n v="385045.0"/>
        <n v="408773.0"/>
        <n v="399942.0"/>
        <n v="376701.0"/>
        <n v="393365.0"/>
        <n v="353462.0"/>
        <n v="314923.0"/>
        <n v="276232.0"/>
        <n v="189611.0"/>
        <n v="234393.0"/>
        <n v="402408.0"/>
        <n v="248202.0"/>
        <n v="264316.0"/>
        <n v="226833.0"/>
        <n v="252136.0"/>
        <n v="219743.0"/>
        <n v="242477.0"/>
        <n v="226787.0"/>
        <n v="225172.0"/>
        <n v="222620.0"/>
        <n v="225373.0"/>
        <n v="237424.0"/>
        <n v="234063.0"/>
        <n v="216860.0"/>
        <n v="223088.0"/>
        <n v="233328.0"/>
        <n v="185922.0"/>
        <n v="187952.0"/>
        <n v="252531.0"/>
        <n v="181927.0"/>
        <n v="187473.0"/>
        <n v="206323.0"/>
        <n v="198390.0"/>
        <n v="180653.0"/>
        <n v="212195.0"/>
        <n v="153062.0"/>
        <n v="139312.0"/>
        <n v="146364.0"/>
        <n v="152959.0"/>
        <n v="165983.0"/>
        <n v="126880.0"/>
        <n v="129094.0"/>
        <n v="121304.0"/>
        <n v="110848.0"/>
        <n v="103326.0"/>
        <n v="117443.0"/>
        <n v="99170.0"/>
        <n v="101158.0"/>
        <n v="113060.0"/>
        <n v="100199.0"/>
        <n v="95778.0"/>
        <n v="94908.0"/>
        <n v="62201.0"/>
        <n v="83600.0"/>
        <n v="85812.0"/>
        <n v="133217.0"/>
        <n v="71866.0"/>
        <n v="49647.0"/>
        <n v="41777.0"/>
        <n v="28462.0"/>
        <n v="20144.0"/>
        <n v="16888.0"/>
        <n v="12180.0"/>
      </sharedItems>
    </cacheField>
    <cacheField name="Март объем  (млн руб)" numFmtId="3">
      <sharedItems containsSemiMixedTypes="0" containsString="0" containsNumber="1" containsInteger="1">
        <n v="232037.0"/>
        <n v="136117.0"/>
        <n v="93989.0"/>
        <n v="72505.0"/>
        <n v="59943.0"/>
        <n v="54263.0"/>
        <n v="47019.0"/>
        <n v="42691.0"/>
        <n v="42987.0"/>
        <n v="37500.0"/>
        <n v="36246.0"/>
        <n v="33763.0"/>
        <n v="32575.0"/>
        <n v="32732.0"/>
        <n v="30033.0"/>
        <n v="26554.0"/>
        <n v="25675.0"/>
        <n v="26212.0"/>
        <n v="25165.0"/>
        <n v="25890.0"/>
        <n v="23578.0"/>
        <n v="22411.0"/>
        <n v="23040.0"/>
        <n v="21741.0"/>
        <n v="20990.0"/>
        <n v="19538.0"/>
        <n v="19778.0"/>
        <n v="20284.0"/>
        <n v="17300.0"/>
        <n v="15889.0"/>
        <n v="15158.0"/>
        <n v="13481.0"/>
        <n v="15236.0"/>
        <n v="14490.0"/>
        <n v="12123.0"/>
        <n v="12569.0"/>
        <n v="12101.0"/>
        <n v="12451.0"/>
        <n v="11589.0"/>
        <n v="12539.0"/>
        <n v="12097.0"/>
        <n v="11560.0"/>
        <n v="11293.0"/>
        <n v="11518.0"/>
        <n v="11162.0"/>
        <n v="11446.0"/>
        <n v="11104.0"/>
        <n v="10825.0"/>
        <n v="10529.0"/>
        <n v="10094.0"/>
        <n v="10319.0"/>
        <n v="9600.0"/>
        <n v="9103.0"/>
        <n v="9480.0"/>
        <n v="9153.0"/>
        <n v="9223.0"/>
        <n v="9507.0"/>
        <n v="8659.0"/>
        <n v="8301.0"/>
        <n v="8538.0"/>
        <n v="8368.0"/>
        <n v="7695.0"/>
        <n v="7338.0"/>
        <n v="6830.0"/>
        <n v="6783.0"/>
        <n v="6384.0"/>
        <n v="6531.0"/>
        <n v="6105.0"/>
        <n v="5721.0"/>
        <n v="5423.0"/>
        <n v="5463.0"/>
        <n v="5424.0"/>
        <n v="5387.0"/>
        <n v="4600.0"/>
        <n v="4471.0"/>
        <n v="4588.0"/>
        <n v="4692.0"/>
        <n v="3771.0"/>
        <n v="3961.0"/>
        <n v="3442.0"/>
        <n v="2871.0"/>
        <n v="2127.0"/>
        <n v="2081.0"/>
        <n v="1362.0"/>
        <n v="670.0"/>
        <n v="919.0"/>
        <n v="512.0"/>
      </sharedItems>
    </cacheField>
    <cacheField name="Март задолженность  (млн руб)" numFmtId="3">
      <sharedItems containsSemiMixedTypes="0" containsString="0" containsNumber="1" containsInteger="1">
        <n v="4218232.0"/>
        <n v="2851648.0"/>
        <n v="1828352.0"/>
        <n v="1531028.0"/>
        <n v="1447376.0"/>
        <n v="1082831.0"/>
        <n v="1106308.0"/>
        <n v="1035648.0"/>
        <n v="860045.0"/>
        <n v="716616.0"/>
        <n v="773350.0"/>
        <n v="595619.0"/>
        <n v="595586.0"/>
        <n v="708909.0"/>
        <n v="591962.0"/>
        <n v="568791.0"/>
        <n v="659243.0"/>
        <n v="574933.0"/>
        <n v="537361.0"/>
        <n v="505031.0"/>
        <n v="511607.0"/>
        <n v="433943.0"/>
        <n v="534945.0"/>
        <n v="400374.0"/>
        <n v="383981.0"/>
        <n v="407872.0"/>
        <n v="398838.0"/>
        <n v="376387.0"/>
        <n v="394213.0"/>
        <n v="353905.0"/>
        <n v="315045.0"/>
        <n v="275224.0"/>
        <n v="190233.0"/>
        <n v="235331.0"/>
        <n v="401854.0"/>
        <n v="247994.0"/>
        <n v="263726.0"/>
        <n v="226599.0"/>
        <n v="251583.0"/>
        <n v="219848.0"/>
        <n v="242413.0"/>
        <n v="226282.0"/>
        <n v="224608.0"/>
        <n v="222247.0"/>
        <n v="227022.0"/>
        <n v="237291.0"/>
        <n v="233881.0"/>
        <n v="216558.0"/>
        <n v="222876.0"/>
        <n v="233608.0"/>
        <n v="185783.0"/>
        <n v="187041.0"/>
        <n v="250771.0"/>
        <n v="181531.0"/>
        <n v="186752.0"/>
        <n v="206640.0"/>
        <n v="198085.0"/>
        <n v="179795.0"/>
        <n v="212357.0"/>
        <n v="152983.0"/>
        <n v="139366.0"/>
        <n v="146207.0"/>
        <n v="152778.0"/>
        <n v="166127.0"/>
        <n v="126862.0"/>
        <n v="128730.0"/>
        <n v="121303.0"/>
        <n v="110951.0"/>
        <n v="103712.0"/>
        <n v="117228.0"/>
        <n v="98971.0"/>
        <n v="101039.0"/>
        <n v="112945.0"/>
        <n v="100394.0"/>
        <n v="95579.0"/>
        <n v="94878.0"/>
        <n v="62231.0"/>
        <n v="84360.0"/>
        <n v="85204.0"/>
        <n v="133583.0"/>
        <n v="71635.0"/>
        <n v="49409.0"/>
        <n v="41798.0"/>
        <n v="28438.0"/>
        <n v="19961.0"/>
        <n v="16770.0"/>
        <n v="12143.0"/>
      </sharedItems>
    </cacheField>
    <cacheField name="Апрель объем  (млн руб)" numFmtId="3">
      <sharedItems containsSemiMixedTypes="0" containsString="0" containsNumber="1" containsInteger="1">
        <n v="231562.0"/>
        <n v="135141.0"/>
        <n v="94296.0"/>
        <n v="71303.0"/>
        <n v="64147.0"/>
        <n v="54368.0"/>
        <n v="47361.0"/>
        <n v="44222.0"/>
        <n v="44079.0"/>
        <n v="37471.0"/>
        <n v="36195.0"/>
        <n v="33797.0"/>
        <n v="33064.0"/>
        <n v="33816.0"/>
        <n v="30370.0"/>
        <n v="26933.0"/>
        <n v="29672.0"/>
        <n v="26150.0"/>
        <n v="25049.0"/>
        <n v="26335.0"/>
        <n v="23725.0"/>
        <n v="22134.0"/>
        <n v="22686.0"/>
        <n v="21812.0"/>
        <n v="20742.0"/>
        <n v="20492.0"/>
        <n v="19963.0"/>
        <n v="19767.0"/>
        <n v="17356.0"/>
        <n v="16747.0"/>
        <n v="15111.0"/>
        <n v="13989.0"/>
        <n v="14185.0"/>
        <n v="14210.0"/>
        <n v="12510.0"/>
        <n v="12629.0"/>
        <n v="13089.0"/>
        <n v="12082.0"/>
        <n v="12600.0"/>
        <n v="12454.0"/>
        <n v="12392.0"/>
        <n v="11773.0"/>
        <n v="11505.0"/>
        <n v="11424.0"/>
        <n v="11273.0"/>
        <n v="11604.0"/>
        <n v="11171.0"/>
        <n v="10681.0"/>
        <n v="10680.0"/>
        <n v="10635.0"/>
        <n v="10527.0"/>
        <n v="9904.0"/>
        <n v="9425.0"/>
        <n v="9593.0"/>
        <n v="9319.0"/>
        <n v="9022.0"/>
        <n v="9120.0"/>
        <n v="8703.0"/>
        <n v="8766.0"/>
        <n v="8131.0"/>
        <n v="8049.0"/>
        <n v="7466.0"/>
        <n v="7467.0"/>
        <n v="7296.0"/>
        <n v="6681.0"/>
        <n v="6442.0"/>
        <n v="5984.0"/>
        <n v="6234.0"/>
        <n v="5330.0"/>
        <n v="5562.0"/>
        <n v="5403.0"/>
        <n v="5343.0"/>
        <n v="5115.0"/>
        <n v="4447.0"/>
        <n v="4509.0"/>
        <n v="4552.0"/>
        <n v="4467.0"/>
        <n v="3591.0"/>
        <n v="3770.0"/>
        <n v="4584.0"/>
        <n v="2870.0"/>
        <n v="2301.0"/>
        <n v="2167.0"/>
        <n v="1365.0"/>
        <n v="778.0"/>
        <n v="809.0"/>
        <n v="489.0"/>
      </sharedItems>
    </cacheField>
    <cacheField name="Апрель задолженность  (млн руб)" numFmtId="3">
      <sharedItems containsSemiMixedTypes="0" containsString="0" containsNumber="1" containsInteger="1">
        <n v="4223317.0"/>
        <n v="2853129.0"/>
        <n v="1831717.0"/>
        <n v="1534060.0"/>
        <n v="1447788.0"/>
        <n v="1084501.0"/>
        <n v="1108802.0"/>
        <n v="1034469.0"/>
        <n v="862042.0"/>
        <n v="716560.0"/>
        <n v="774091.0"/>
        <n v="595025.0"/>
        <n v="596169.0"/>
        <n v="708873.0"/>
        <n v="592895.0"/>
        <n v="567172.0"/>
        <n v="659026.0"/>
        <n v="575776.0"/>
        <n v="538630.0"/>
        <n v="504526.0"/>
        <n v="511513.0"/>
        <n v="434160.0"/>
        <n v="536032.0"/>
        <n v="400550.0"/>
        <n v="383184.0"/>
        <n v="408541.0"/>
        <n v="398440.0"/>
        <n v="376185.0"/>
        <n v="395794.0"/>
        <n v="355162.0"/>
        <n v="315320.0"/>
        <n v="274889.0"/>
        <n v="190458.0"/>
        <n v="235983.0"/>
        <n v="401976.0"/>
        <n v="248702.0"/>
        <n v="264521.0"/>
        <n v="226392.0"/>
        <n v="252444.0"/>
        <n v="221105.0"/>
        <n v="242528.0"/>
        <n v="226585.0"/>
        <n v="224825.0"/>
        <n v="222088.0"/>
        <n v="228484.0"/>
        <n v="237621.0"/>
        <n v="233965.0"/>
        <n v="216303.0"/>
        <n v="222966.0"/>
        <n v="234301.0"/>
        <n v="185939.0"/>
        <n v="186573.0"/>
        <n v="250133.0"/>
        <n v="181528.0"/>
        <n v="186569.0"/>
        <n v="207050.0"/>
        <n v="197542.0"/>
        <n v="179371.0"/>
        <n v="212981.0"/>
        <n v="152371.0"/>
        <n v="139284.0"/>
        <n v="146016.0"/>
        <n v="153010.0"/>
        <n v="166671.0"/>
        <n v="126864.0"/>
        <n v="128538.0"/>
        <n v="121256.0"/>
        <n v="111468.0"/>
        <n v="103834.0"/>
        <n v="117177.0"/>
        <n v="98838.0"/>
        <n v="100898.0"/>
        <n v="112749.0"/>
        <n v="100515.0"/>
        <n v="95234.0"/>
        <n v="94902.0"/>
        <n v="62242.0"/>
        <n v="84595.0"/>
        <n v="89197.0"/>
        <n v="134996.0"/>
        <n v="71529.0"/>
        <n v="49321.0"/>
        <n v="41829.0"/>
        <n v="28373.0"/>
        <n v="19835.0"/>
        <n v="16519.0"/>
        <n v="12077.0"/>
      </sharedItems>
    </cacheField>
    <cacheField name="Май объем  (млн руб)" numFmtId="3">
      <sharedItems containsSemiMixedTypes="0" containsString="0" containsNumber="1" containsInteger="1">
        <n v="230539.0"/>
        <n v="139810.0"/>
        <n v="96291.0"/>
        <n v="72845.0"/>
        <n v="64015.0"/>
        <n v="55758.0"/>
        <n v="49433.0"/>
        <n v="45119.0"/>
        <n v="45029.0"/>
        <n v="38540.0"/>
        <n v="36900.0"/>
        <n v="35551.0"/>
        <n v="33324.0"/>
        <n v="35261.0"/>
        <n v="31920.0"/>
        <n v="28469.0"/>
        <n v="27697.0"/>
        <n v="26794.0"/>
        <n v="26318.0"/>
        <n v="26803.0"/>
        <n v="24547.0"/>
        <n v="22773.0"/>
        <n v="23395.0"/>
        <n v="22462.0"/>
        <n v="23159.0"/>
        <n v="22920.0"/>
        <n v="20605.0"/>
        <n v="20362.0"/>
        <n v="17859.0"/>
        <n v="17164.0"/>
        <n v="15112.0"/>
        <n v="14785.0"/>
        <n v="13894.0"/>
        <n v="14682.0"/>
        <n v="13298.0"/>
        <n v="12840.0"/>
        <n v="13365.0"/>
        <n v="12634.0"/>
        <n v="12896.0"/>
        <n v="12709.0"/>
        <n v="12719.0"/>
        <n v="11972.0"/>
        <n v="12081.0"/>
        <n v="12142.0"/>
        <n v="11721.0"/>
        <n v="11740.0"/>
        <n v="11482.0"/>
        <n v="10947.0"/>
        <n v="11052.0"/>
        <n v="10800.0"/>
        <n v="10565.0"/>
        <n v="10467.0"/>
        <n v="10001.0"/>
        <n v="10050.0"/>
        <n v="10049.0"/>
        <n v="10147.0"/>
        <n v="9546.0"/>
        <n v="9061.0"/>
        <n v="9227.0"/>
        <n v="8893.0"/>
        <n v="8364.0"/>
        <n v="7764.0"/>
        <n v="7511.0"/>
        <n v="7857.0"/>
        <n v="6774.0"/>
        <n v="6780.0"/>
        <n v="6397.0"/>
        <n v="6370.0"/>
        <n v="5388.0"/>
        <n v="5690.0"/>
        <n v="5665.0"/>
        <n v="5455.0"/>
        <n v="5387.0"/>
        <n v="4589.0"/>
        <n v="4827.0"/>
        <n v="4671.0"/>
        <n v="4369.0"/>
        <n v="3770.0"/>
        <n v="4045.0"/>
        <n v="3868.0"/>
        <n v="2979.0"/>
        <n v="2422.0"/>
        <n v="2228.0"/>
        <n v="1392.0"/>
        <n v="876.0"/>
        <n v="839.0"/>
        <n v="469.0"/>
      </sharedItems>
    </cacheField>
    <cacheField name="Май задолженность  (млн руб)" numFmtId="3">
      <sharedItems containsSemiMixedTypes="0" containsString="0" containsNumber="1" containsInteger="1">
        <n v="4239331.0"/>
        <n v="2864894.0"/>
        <n v="1839821.0"/>
        <n v="1540875.0"/>
        <n v="1452376.0"/>
        <n v="1088230.0"/>
        <n v="1114553.0"/>
        <n v="1037494.0"/>
        <n v="866282.0"/>
        <n v="718736.0"/>
        <n v="776585.0"/>
        <n v="596882.0"/>
        <n v="597540.0"/>
        <n v="710834.0"/>
        <n v="595707.0"/>
        <n v="568174.0"/>
        <n v="661426.0"/>
        <n v="577503.0"/>
        <n v="540909.0"/>
        <n v="505266.0"/>
        <n v="513132.0"/>
        <n v="435280.0"/>
        <n v="538591.0"/>
        <n v="402226.0"/>
        <n v="384296.0"/>
        <n v="410230.0"/>
        <n v="399457.0"/>
        <n v="377199.0"/>
        <n v="398010.0"/>
        <n v="357653.0"/>
        <n v="316342.0"/>
        <n v="275813.0"/>
        <n v="191663.0"/>
        <n v="237525.0"/>
        <n v="403212.0"/>
        <n v="249812.0"/>
        <n v="265775.0"/>
        <n v="226810.0"/>
        <n v="253756.0"/>
        <n v="221915.0"/>
        <n v="243622.0"/>
        <n v="227370.0"/>
        <n v="225743.0"/>
        <n v="222868.0"/>
        <n v="230886.0"/>
        <n v="238421.0"/>
        <n v="234565.0"/>
        <n v="216767.0"/>
        <n v="223747.0"/>
        <n v="235616.0"/>
        <n v="186560.0"/>
        <n v="186707.0"/>
        <n v="250041.0"/>
        <n v="182113.0"/>
        <n v="187346.0"/>
        <n v="208785.0"/>
        <n v="197864.0"/>
        <n v="179306.0"/>
        <n v="214233.0"/>
        <n v="152896.0"/>
        <n v="139455.0"/>
        <n v="146488.0"/>
        <n v="153642.0"/>
        <n v="167923.0"/>
        <n v="127253.0"/>
        <n v="128720.0"/>
        <n v="121822.0"/>
        <n v="112148.0"/>
        <n v="104289.0"/>
        <n v="117427.0"/>
        <n v="98986.0"/>
        <n v="100991.0"/>
        <n v="113149.0"/>
        <n v="100843.0"/>
        <n v="95432.0"/>
        <n v="95188.0"/>
        <n v="62603.0"/>
        <n v="85276.0"/>
        <n v="88998.0"/>
        <n v="135830.0"/>
        <n v="71599.0"/>
        <n v="49441.0"/>
        <n v="41983.0"/>
        <n v="28364.0"/>
        <n v="19891.0"/>
        <n v="16432.0"/>
        <n v="12019.0"/>
      </sharedItems>
    </cacheField>
    <cacheField name="Июнь объем  (млн руб)" numFmtId="3">
      <sharedItems containsSemiMixedTypes="0" containsString="0" containsNumber="1" containsInteger="1">
        <n v="235787.0"/>
        <n v="141043.0"/>
        <n v="98542.0"/>
        <n v="75024.0"/>
        <n v="66498.0"/>
        <n v="58471.0"/>
        <n v="49967.0"/>
        <n v="46920.0"/>
        <n v="45906.0"/>
        <n v="40529.0"/>
        <n v="38422.0"/>
        <n v="36181.0"/>
        <n v="35480.0"/>
        <n v="36222.0"/>
        <n v="32719.0"/>
        <n v="29131.0"/>
        <n v="28414.0"/>
        <n v="27967.0"/>
        <n v="27019.0"/>
        <n v="27650.0"/>
        <n v="25729.0"/>
        <n v="23821.0"/>
        <n v="24642.0"/>
        <n v="22495.0"/>
        <n v="23241.0"/>
        <n v="23061.0"/>
        <n v="21153.0"/>
        <n v="20760.0"/>
        <n v="18776.0"/>
        <n v="17648.0"/>
        <n v="15474.0"/>
        <n v="15320.0"/>
        <n v="13761.0"/>
        <n v="14729.0"/>
        <n v="14994.0"/>
        <n v="12892.0"/>
        <n v="14076.0"/>
        <n v="12960.0"/>
        <n v="13482.0"/>
        <n v="13150.0"/>
        <n v="13017.0"/>
        <n v="12470.0"/>
        <n v="12466.0"/>
        <n v="12448.0"/>
        <n v="12383.0"/>
        <n v="11893.0"/>
        <n v="12000.0"/>
        <n v="11423.0"/>
        <n v="11420.0"/>
        <n v="11296.0"/>
        <n v="10899.0"/>
        <n v="10740.0"/>
        <n v="11065.0"/>
        <n v="10382.0"/>
        <n v="10361.0"/>
        <n v="10029.0"/>
        <n v="9530.0"/>
        <n v="9463.0"/>
        <n v="9687.0"/>
        <n v="8912.0"/>
        <n v="8867.0"/>
        <n v="8038.0"/>
        <n v="7909.0"/>
        <n v="8120.0"/>
        <n v="6903.0"/>
        <n v="6846.0"/>
        <n v="6699.0"/>
        <n v="6449.0"/>
        <n v="8448.0"/>
        <n v="6157.0"/>
        <n v="5647.0"/>
        <n v="5691.0"/>
        <n v="5397.0"/>
        <n v="5019.0"/>
        <n v="4756.0"/>
        <n v="4633.0"/>
        <n v="4304.0"/>
        <n v="3935.0"/>
        <n v="3977.0"/>
        <n v="4058.0"/>
        <n v="3039.0"/>
        <n v="2560.0"/>
        <n v="3084.0"/>
        <n v="1403.0"/>
        <n v="988.0"/>
        <n v="828.0"/>
        <n v="594.0"/>
      </sharedItems>
    </cacheField>
    <cacheField name="Июнь задолженность  (млн руб)" numFmtId="3">
      <sharedItems containsSemiMixedTypes="0" containsString="0" containsNumber="1" containsInteger="1">
        <n v="4248421.0"/>
        <n v="2866710.0"/>
        <n v="1846241.0"/>
        <n v="1545883.0"/>
        <n v="1453169.0"/>
        <n v="1088509.0"/>
        <n v="1116400.0"/>
        <n v="1038237.0"/>
        <n v="867493.0"/>
        <n v="718582.0"/>
        <n v="774824.0"/>
        <n v="595593.0"/>
        <n v="597901.0"/>
        <n v="709967.0"/>
        <n v="596408.0"/>
        <n v="566539.0"/>
        <n v="660483.0"/>
        <n v="579519.0"/>
        <n v="543024.0"/>
        <n v="502816.0"/>
        <n v="513563.0"/>
        <n v="435973.0"/>
        <n v="539623.0"/>
        <n v="401381.0"/>
        <n v="382774.0"/>
        <n v="409986.0"/>
        <n v="397674.0"/>
        <n v="375440.0"/>
        <n v="400280.0"/>
        <n v="358605.0"/>
        <n v="316188.0"/>
        <n v="276291.0"/>
        <n v="192595.0"/>
        <n v="237832.0"/>
        <n v="404136.0"/>
        <n v="249676.0"/>
        <n v="266166.0"/>
        <n v="226382.0"/>
        <n v="254163.0"/>
        <n v="221687.0"/>
        <n v="243539.0"/>
        <n v="227393.0"/>
        <n v="225815.0"/>
        <n v="222749.0"/>
        <n v="232671.0"/>
        <n v="238108.0"/>
        <n v="234071.0"/>
        <n v="216188.0"/>
        <n v="224027.0"/>
        <n v="235566.0"/>
        <n v="186408.0"/>
        <n v="185990.0"/>
        <n v="249662.0"/>
        <n v="182397.0"/>
        <n v="187609.0"/>
        <n v="209341.0"/>
        <n v="197559.0"/>
        <n v="178673.0"/>
        <n v="214942.0"/>
        <n v="152594.0"/>
        <n v="139633.0"/>
        <n v="146334.0"/>
        <n v="153612.0"/>
        <n v="168527.0"/>
        <n v="126992.0"/>
        <n v="127844.0"/>
        <n v="122097.0"/>
        <n v="112249.0"/>
        <n v="106701.0"/>
        <n v="117483.0"/>
        <n v="98499.0"/>
        <n v="100658.0"/>
        <n v="112839.0"/>
        <n v="101451.0"/>
        <n v="95113.0"/>
        <n v="95091.0"/>
        <n v="63011.0"/>
        <n v="85877.0"/>
        <n v="84202.0"/>
        <n v="136552.0"/>
        <n v="71580.0"/>
        <n v="49208.0"/>
        <n v="42723.0"/>
        <n v="28197.0"/>
        <n v="19954.0"/>
        <n v="16190.0"/>
        <n v="12003.0"/>
      </sharedItems>
    </cacheField>
    <cacheField name="Июль объем  (млн руб)" numFmtId="3">
      <sharedItems containsSemiMixedTypes="0" containsString="0" containsNumber="1" containsInteger="1">
        <n v="252022.0"/>
        <n v="153628.0"/>
        <n v="104593.0"/>
        <n v="80938.0"/>
        <n v="74172.0"/>
        <n v="62885.0"/>
        <n v="55958.0"/>
        <n v="51768.0"/>
        <n v="49471.0"/>
        <n v="44057.0"/>
        <n v="41357.0"/>
        <n v="39231.0"/>
        <n v="37637.0"/>
        <n v="38588.0"/>
        <n v="36219.0"/>
        <n v="32180.0"/>
        <n v="31095.0"/>
        <n v="29841.0"/>
        <n v="30697.0"/>
        <n v="29728.0"/>
        <n v="28084.0"/>
        <n v="26003.0"/>
        <n v="26101.0"/>
        <n v="24725.0"/>
        <n v="24825.0"/>
        <n v="24671.0"/>
        <n v="23697.0"/>
        <n v="22541.0"/>
        <n v="20186.0"/>
        <n v="19451.0"/>
        <n v="17150.0"/>
        <n v="16988.0"/>
        <n v="15604.0"/>
        <n v="15694.0"/>
        <n v="18098.0"/>
        <n v="14004.0"/>
        <n v="15095.0"/>
        <n v="14655.0"/>
        <n v="14439.0"/>
        <n v="13856.0"/>
        <n v="14067.0"/>
        <n v="13642.0"/>
        <n v="13481.0"/>
        <n v="13731.0"/>
        <n v="13883.0"/>
        <n v="13323.0"/>
        <n v="12979.0"/>
        <n v="12966.0"/>
        <n v="12601.0"/>
        <n v="12698.0"/>
        <n v="11827.0"/>
        <n v="12179.0"/>
        <n v="12380.0"/>
        <n v="11331.0"/>
        <n v="11379.0"/>
        <n v="11077.0"/>
        <n v="10029.0"/>
        <n v="10649.0"/>
        <n v="10731.0"/>
        <n v="9711.0"/>
        <n v="9296.0"/>
        <n v="9016.0"/>
        <n v="8832.0"/>
        <n v="8730.0"/>
        <n v="7577.0"/>
        <n v="7570.0"/>
        <n v="7368.0"/>
        <n v="7031.0"/>
        <n v="6117.0"/>
        <n v="6472.0"/>
        <n v="6274.0"/>
        <n v="6241.0"/>
        <n v="5725.0"/>
        <n v="5646.0"/>
        <n v="5427.0"/>
        <n v="5157.0"/>
        <n v="4777.0"/>
        <n v="4480.0"/>
        <n v="4360.0"/>
        <n v="4595.0"/>
        <n v="3330.0"/>
        <n v="2774.0"/>
        <n v="2565.0"/>
        <n v="1636.0"/>
        <n v="1141.0"/>
        <n v="930.0"/>
        <n v="656.0"/>
      </sharedItems>
    </cacheField>
    <cacheField name="Июль задолженность  (млн руб)" numFmtId="3">
      <sharedItems containsSemiMixedTypes="0" containsString="0" containsNumber="1" containsInteger="1">
        <n v="4265347.0"/>
        <n v="2862520.0"/>
        <n v="1844711.0"/>
        <n v="1548264.0"/>
        <n v="1451768.0"/>
        <n v="1086247.0"/>
        <n v="1118820.0"/>
        <n v="1035439.0"/>
        <n v="866324.0"/>
        <n v="716825.0"/>
        <n v="773364.0"/>
        <n v="592733.0"/>
        <n v="597218.0"/>
        <n v="706662.0"/>
        <n v="597022.0"/>
        <n v="564349.0"/>
        <n v="657380.0"/>
        <n v="579249.0"/>
        <n v="545374.0"/>
        <n v="500250.0"/>
        <n v="512576.0"/>
        <n v="435466.0"/>
        <n v="536354.0"/>
        <n v="399447.0"/>
        <n v="379950.0"/>
        <n v="408638.0"/>
        <n v="397111.0"/>
        <n v="373944.0"/>
        <n v="401006.0"/>
        <n v="356744.0"/>
        <n v="314982.0"/>
        <n v="276555.0"/>
        <n v="194148.0"/>
        <n v="237570.0"/>
        <n v="404319.0"/>
        <n v="249347.0"/>
        <n v="263999.0"/>
        <n v="225758.0"/>
        <n v="251988.0"/>
        <n v="221063.0"/>
        <n v="242195.0"/>
        <n v="227203.0"/>
        <n v="224545.0"/>
        <n v="222876.0"/>
        <n v="233928.0"/>
        <n v="236863.0"/>
        <n v="232958.0"/>
        <n v="215728.0"/>
        <n v="223511.0"/>
        <n v="234859.0"/>
        <n v="185484.0"/>
        <n v="185265.0"/>
        <n v="249013.0"/>
        <n v="182094.0"/>
        <n v="187649.0"/>
        <n v="209017.0"/>
        <n v="196235.0"/>
        <n v="177993.0"/>
        <n v="211493.0"/>
        <n v="151589.0"/>
        <n v="138930.0"/>
        <n v="145350.0"/>
        <n v="153163.0"/>
        <n v="167926.0"/>
        <n v="126283.0"/>
        <n v="127147.0"/>
        <n v="121747.0"/>
        <n v="111991.0"/>
        <n v="105337.0"/>
        <n v="116935.0"/>
        <n v="98087.0"/>
        <n v="100215.0"/>
        <n v="112103.0"/>
        <n v="102346.0"/>
        <n v="94591.0"/>
        <n v="94665.0"/>
        <n v="63552.0"/>
        <n v="87032.0"/>
        <n v="84008.0"/>
        <n v="137041.0"/>
        <n v="71399.0"/>
        <n v="48558.0"/>
        <n v="42258.0"/>
        <n v="28011.0"/>
        <n v="19875.0"/>
        <n v="16074.0"/>
        <n v="12011.0"/>
      </sharedItems>
    </cacheField>
    <cacheField name="Август объем  (млн руб)" numFmtId="3">
      <sharedItems containsSemiMixedTypes="0" containsString="0" containsNumber="1" containsInteger="1">
        <n v="264348.0"/>
        <n v="163586.0"/>
        <n v="111507.0"/>
        <n v="84200.0"/>
        <n v="79311.0"/>
        <n v="66749.0"/>
        <n v="58997.0"/>
        <n v="55642.0"/>
        <n v="52119.0"/>
        <n v="47327.0"/>
        <n v="43659.0"/>
        <n v="41238.0"/>
        <n v="40994.0"/>
        <n v="40241.0"/>
        <n v="38811.0"/>
        <n v="34164.0"/>
        <n v="33469.0"/>
        <n v="32674.0"/>
        <n v="32601.0"/>
        <n v="32169.0"/>
        <n v="29682.0"/>
        <n v="26770.0"/>
        <n v="26523.0"/>
        <n v="26091.0"/>
        <n v="25526.0"/>
        <n v="25447.0"/>
        <n v="24814.0"/>
        <n v="23681.0"/>
        <n v="22343.0"/>
        <n v="19928.0"/>
        <n v="18019.0"/>
        <n v="17692.0"/>
        <n v="15936.0"/>
        <n v="16678.0"/>
        <n v="19403.0"/>
        <n v="15543.0"/>
        <n v="15812.0"/>
        <n v="15430.0"/>
        <n v="15132.0"/>
        <n v="15150.0"/>
        <n v="15046.0"/>
        <n v="14585.0"/>
        <n v="14332.0"/>
        <n v="14198.0"/>
        <n v="14580.0"/>
        <n v="13911.0"/>
        <n v="13261.0"/>
        <n v="13444.0"/>
        <n v="13545.0"/>
        <n v="13616.0"/>
        <n v="12663.0"/>
        <n v="12906.0"/>
        <n v="13241.0"/>
        <n v="12103.0"/>
        <n v="12111.0"/>
        <n v="11861.0"/>
        <n v="10629.0"/>
        <n v="11407.0"/>
        <n v="11004.0"/>
        <n v="10472.0"/>
        <n v="9841.0"/>
        <n v="9533.0"/>
        <n v="9498.0"/>
        <n v="9232.0"/>
        <n v="7561.0"/>
        <n v="7980.0"/>
        <n v="7879.0"/>
        <n v="7229.0"/>
        <n v="6594.0"/>
        <n v="6946.0"/>
        <n v="6655.0"/>
        <n v="6829.0"/>
        <n v="6212.0"/>
        <n v="5569.0"/>
        <n v="5642.0"/>
        <n v="5709.0"/>
        <n v="4901.0"/>
        <n v="4891.0"/>
        <n v="4260.0"/>
        <n v="4964.0"/>
        <n v="3726.0"/>
        <n v="2945.0"/>
        <n v="2711.0"/>
        <n v="1686.0"/>
        <n v="1224.0"/>
        <n v="912.0"/>
        <n v="680.0"/>
      </sharedItems>
    </cacheField>
    <cacheField name="Август задолженность  (млн руб)" numFmtId="3">
      <sharedItems containsSemiMixedTypes="0" containsString="0" containsNumber="1" containsInteger="1">
        <n v="4295817.0"/>
        <n v="2886151.0"/>
        <n v="1859723.0"/>
        <n v="1558101.0"/>
        <n v="1468076.0"/>
        <n v="1096564.0"/>
        <n v="1130953.0"/>
        <n v="1046508.0"/>
        <n v="874118.0"/>
        <n v="724698.0"/>
        <n v="779831.0"/>
        <n v="597725.0"/>
        <n v="603803.0"/>
        <n v="711004.0"/>
        <n v="604527.0"/>
        <n v="568813.0"/>
        <n v="663885.0"/>
        <n v="584584.0"/>
        <n v="552660.0"/>
        <n v="504182.0"/>
        <n v="516699.0"/>
        <n v="439296.0"/>
        <n v="540290.0"/>
        <n v="403051.0"/>
        <n v="382711.0"/>
        <n v="413334.0"/>
        <n v="400724.0"/>
        <n v="376970.0"/>
        <n v="406343.0"/>
        <n v="360629.0"/>
        <n v="318035.0"/>
        <n v="279586.0"/>
        <n v="196537.0"/>
        <n v="239826.0"/>
        <n v="410708.0"/>
        <n v="252023.0"/>
        <n v="266739.0"/>
        <n v="227980.0"/>
        <n v="254637.0"/>
        <n v="223286.0"/>
        <n v="244456.0"/>
        <n v="229432.0"/>
        <n v="226774.0"/>
        <n v="225010.0"/>
        <n v="237928.0"/>
        <n v="238986.0"/>
        <n v="234590.0"/>
        <n v="217926.0"/>
        <n v="226132.0"/>
        <n v="238133.0"/>
        <n v="187059.0"/>
        <n v="187449.0"/>
        <n v="251531.0"/>
        <n v="183884.0"/>
        <n v="189849.0"/>
        <n v="211677.0"/>
        <n v="196974.0"/>
        <n v="179458.0"/>
        <n v="213939.0"/>
        <n v="153191.0"/>
        <n v="140253.0"/>
        <n v="147020.0"/>
        <n v="155031.0"/>
        <n v="169733.0"/>
        <n v="127079.0"/>
        <n v="127842.0"/>
        <n v="123405.0"/>
        <n v="113283.0"/>
        <n v="106274.0"/>
        <n v="117878.0"/>
        <n v="98947.0"/>
        <n v="101250.0"/>
        <n v="112820.0"/>
        <n v="103333.0"/>
        <n v="95148.0"/>
        <n v="95614.0"/>
        <n v="64170.0"/>
        <n v="88320.0"/>
        <n v="83598.0"/>
        <n v="138834.0"/>
        <n v="72054.0"/>
        <n v="48822.0"/>
        <n v="42408.0"/>
        <n v="28260.0"/>
        <n v="20106.0"/>
        <n v="15843.0"/>
        <n v="12102.0"/>
      </sharedItems>
    </cacheField>
    <cacheField name="Сентябрь объем  (млн руб)" numFmtId="3">
      <sharedItems containsSemiMixedTypes="0" containsString="0" containsNumber="1" containsInteger="1">
        <n v="269103.0"/>
        <n v="161819.0"/>
        <n v="115583.0"/>
        <n v="83199.0"/>
        <n v="74038.0"/>
        <n v="66010.0"/>
        <n v="59303.0"/>
        <n v="52663.0"/>
        <n v="51007.0"/>
        <n v="45510.0"/>
        <n v="41721.0"/>
        <n v="40453.0"/>
        <n v="40073.0"/>
        <n v="39261.0"/>
        <n v="37037.0"/>
        <n v="32192.0"/>
        <n v="31641.0"/>
        <n v="32344.0"/>
        <n v="30646.0"/>
        <n v="30578.0"/>
        <n v="29281.0"/>
        <n v="26440.0"/>
        <n v="26784.0"/>
        <n v="25196.0"/>
        <n v="25250.0"/>
        <n v="24437.0"/>
        <n v="23356.0"/>
        <n v="23105.0"/>
        <n v="21713.0"/>
        <n v="18804.0"/>
        <n v="17753.0"/>
        <n v="17171.0"/>
        <n v="16163.0"/>
        <n v="16808.0"/>
        <n v="15997.0"/>
        <n v="15185.0"/>
        <n v="15360.0"/>
        <n v="14921.0"/>
        <n v="14706.0"/>
        <n v="14560.0"/>
        <n v="14591.0"/>
        <n v="14088.0"/>
        <n v="14112.0"/>
        <n v="13749.0"/>
        <n v="13312.0"/>
        <n v="13566.0"/>
        <n v="13097.0"/>
        <n v="13035.0"/>
        <n v="12869.0"/>
        <n v="12326.0"/>
        <n v="12487.0"/>
        <n v="12063.0"/>
        <n v="11750.0"/>
        <n v="11584.0"/>
        <n v="12024.0"/>
        <n v="11166.0"/>
        <n v="10135.0"/>
        <n v="10514.0"/>
        <n v="10468.0"/>
        <n v="9904.0"/>
        <n v="9792.0"/>
        <n v="9084.0"/>
        <n v="9053.0"/>
        <n v="8624.0"/>
        <n v="7729.0"/>
        <n v="7961.0"/>
        <n v="7551.0"/>
        <n v="7301.0"/>
        <n v="7570.0"/>
        <n v="6504.0"/>
        <n v="6466.0"/>
        <n v="6673.0"/>
        <n v="6030.0"/>
        <n v="5517.0"/>
        <n v="5616.0"/>
        <n v="5059.0"/>
        <n v="4982.0"/>
        <n v="4715.0"/>
        <n v="4304.0"/>
        <n v="3906.0"/>
        <n v="3406.0"/>
        <n v="2818.0"/>
        <n v="2492.0"/>
        <n v="1577.0"/>
        <n v="967.0"/>
        <n v="979.0"/>
        <n v="654.0"/>
      </sharedItems>
    </cacheField>
    <cacheField name="Сентябрь задолженность  (млн руб)" numFmtId="3">
      <sharedItems containsSemiMixedTypes="0" containsString="0" containsNumber="1" containsInteger="1">
        <n v="4333273.0"/>
        <n v="2904394.0"/>
        <n v="1878060.0"/>
        <n v="1568795.0"/>
        <n v="1475802.0"/>
        <n v="1104926.0"/>
        <n v="1140409.0"/>
        <n v="1053690.0"/>
        <n v="879884.0"/>
        <n v="729638.0"/>
        <n v="782704.0"/>
        <n v="601304.0"/>
        <n v="608670.0"/>
        <n v="713317.0"/>
        <n v="609587.0"/>
        <n v="569962.0"/>
        <n v="666769.0"/>
        <n v="589765.0"/>
        <n v="556531.0"/>
        <n v="505209.0"/>
        <n v="520028.0"/>
        <n v="442136.0"/>
        <n v="543910.0"/>
        <n v="404247.0"/>
        <n v="384038.0"/>
        <n v="416060.0"/>
        <n v="401674.0"/>
        <n v="378238.0"/>
        <n v="410368.0"/>
        <n v="362539.0"/>
        <n v="320008.0"/>
        <n v="281237.0"/>
        <n v="199090.0"/>
        <n v="242133.0"/>
        <n v="412750.0"/>
        <n v="254122.0"/>
        <n v="268581.0"/>
        <n v="229311.0"/>
        <n v="256415.0"/>
        <n v="224646.0"/>
        <n v="246039.0"/>
        <n v="230834.0"/>
        <n v="228250.0"/>
        <n v="225845.0"/>
        <n v="240300.0"/>
        <n v="240182.0"/>
        <n v="234835.0"/>
        <n v="219131.0"/>
        <n v="227595.0"/>
        <n v="239438.0"/>
        <n v="188398.0"/>
        <n v="188115.0"/>
        <n v="252502.0"/>
        <n v="184895.0"/>
        <n v="191406.0"/>
        <n v="213334.0"/>
        <n v="197250.0"/>
        <n v="179926.0"/>
        <n v="215380.0"/>
        <n v="153708.0"/>
        <n v="140780.0"/>
        <n v="147777.0"/>
        <n v="156395.0"/>
        <n v="170726.0"/>
        <n v="127702.0"/>
        <n v="128277.0"/>
        <n v="124198.0"/>
        <n v="114301.0"/>
        <n v="106712.0"/>
        <n v="118331.0"/>
        <n v="99293.0"/>
        <n v="102003.0"/>
        <n v="112986.0"/>
        <n v="104286.0"/>
        <n v="95268.0"/>
        <n v="95841.0"/>
        <n v="64892.0"/>
        <n v="89343.0"/>
        <n v="83122.0"/>
        <n v="139421.0"/>
        <n v="72280.0"/>
        <n v="48969.0"/>
        <n v="42562.0"/>
        <n v="28334.0"/>
        <n v="20144.0"/>
        <n v="15735.0"/>
        <n v="12165.0"/>
      </sharedItems>
    </cacheField>
    <cacheField name="Октябрь объем  (млн руб)" numFmtId="3">
      <sharedItems containsSemiMixedTypes="0" containsString="0" containsNumber="1" containsInteger="1">
        <n v="284678.0"/>
        <n v="174045.0"/>
        <n v="122128.0"/>
        <n v="91344.0"/>
        <n v="81525.0"/>
        <n v="72535.0"/>
        <n v="67991.0"/>
        <n v="58900.0"/>
        <n v="57069.0"/>
        <n v="49529.0"/>
        <n v="46709.0"/>
        <n v="43661.0"/>
        <n v="44411.0"/>
        <n v="42699.0"/>
        <n v="41515.0"/>
        <n v="34966.0"/>
        <n v="34572.0"/>
        <n v="34654.0"/>
        <n v="33955.0"/>
        <n v="32651.0"/>
        <n v="31890.0"/>
        <n v="28954.0"/>
        <n v="28077.0"/>
        <n v="27763.0"/>
        <n v="26700.0"/>
        <n v="26591.0"/>
        <n v="25340.0"/>
        <n v="25249.0"/>
        <n v="24442.0"/>
        <n v="20350.0"/>
        <n v="20259.0"/>
        <n v="19380.0"/>
        <n v="18365.0"/>
        <n v="17876.0"/>
        <n v="16614.0"/>
        <n v="17125.0"/>
        <n v="16609.0"/>
        <n v="16246.0"/>
        <n v="15966.0"/>
        <n v="15493.0"/>
        <n v="15597.0"/>
        <n v="15463.0"/>
        <n v="15429.0"/>
        <n v="14736.0"/>
        <n v="14627.0"/>
        <n v="14803.0"/>
        <n v="14312.0"/>
        <n v="14467.0"/>
        <n v="14242.0"/>
        <n v="13936.0"/>
        <n v="13852.0"/>
        <n v="12755.0"/>
        <n v="12998.0"/>
        <n v="12948.0"/>
        <n v="13449.0"/>
        <n v="12633.0"/>
        <n v="11254.0"/>
        <n v="11203.0"/>
        <n v="11355.0"/>
        <n v="10931.0"/>
        <n v="10357.0"/>
        <n v="9669.0"/>
        <n v="9872.0"/>
        <n v="9146.0"/>
        <n v="8228.0"/>
        <n v="8504.0"/>
        <n v="8711.0"/>
        <n v="8322.0"/>
        <n v="6837.0"/>
        <n v="7016.0"/>
        <n v="7081.0"/>
        <n v="7014.0"/>
        <n v="6235.0"/>
        <n v="5840.0"/>
        <n v="6026.0"/>
        <n v="5464.0"/>
        <n v="5631.0"/>
        <n v="5242.0"/>
        <n v="4342.0"/>
        <n v="4203.0"/>
        <n v="3647.0"/>
        <n v="3024.0"/>
        <n v="2699.0"/>
        <n v="1710.0"/>
        <n v="1021.0"/>
        <n v="968.0"/>
        <n v="643.0"/>
      </sharedItems>
    </cacheField>
    <cacheField name="Октябрь задолженность  (млн руб)" numFmtId="3">
      <sharedItems containsSemiMixedTypes="0" containsString="0" containsNumber="1" containsInteger="1">
        <n v="4370468.0"/>
        <n v="2930016.0"/>
        <n v="1896175.0"/>
        <n v="1584377.0"/>
        <n v="1489303.0"/>
        <n v="1117833.0"/>
        <n v="1157094.0"/>
        <n v="1063006.0"/>
        <n v="889344.0"/>
        <n v="736489.0"/>
        <n v="789292.0"/>
        <n v="605450.0"/>
        <n v="615981.0"/>
        <n v="716951.0"/>
        <n v="617304.0"/>
        <n v="572607.0"/>
        <n v="672142.0"/>
        <n v="596148.0"/>
        <n v="563007.0"/>
        <n v="507475.0"/>
        <n v="524962.0"/>
        <n v="445865.0"/>
        <n v="547970.0"/>
        <n v="407544.0"/>
        <n v="385781.0"/>
        <n v="420018.0"/>
        <n v="403720.0"/>
        <n v="380312.0"/>
        <n v="416437.0"/>
        <n v="365229.0"/>
        <n v="324076.0"/>
        <n v="284336.0"/>
        <n v="202830.0"/>
        <n v="244357.0"/>
        <n v="415383.0"/>
        <n v="257646.0"/>
        <n v="271052.0"/>
        <n v="231141.0"/>
        <n v="258856.0"/>
        <n v="226218.0"/>
        <n v="247924.0"/>
        <n v="232854.0"/>
        <n v="230581.0"/>
        <n v="227049.0"/>
        <n v="243690.0"/>
        <n v="242074.0"/>
        <n v="236551.0"/>
        <n v="221125.0"/>
        <n v="229866.0"/>
        <n v="242277.0"/>
        <n v="190511.0"/>
        <n v="189078.0"/>
        <n v="254154.0"/>
        <n v="186083.0"/>
        <n v="193484.0"/>
        <n v="216198.0"/>
        <n v="197840.0"/>
        <n v="180765.0"/>
        <n v="217387.0"/>
        <n v="155125.0"/>
        <n v="141838.0"/>
        <n v="148723.0"/>
        <n v="157958.0"/>
        <n v="172299.0"/>
        <n v="128265.0"/>
        <n v="129134.0"/>
        <n v="125783.0"/>
        <n v="115934.0"/>
        <n v="107206.0"/>
        <n v="118852.0"/>
        <n v="100179.0"/>
        <n v="102820.0"/>
        <n v="113286.0"/>
        <n v="105249.0"/>
        <n v="95803.0"/>
        <n v="96215.0"/>
        <n v="65880.0"/>
        <n v="90630.0"/>
        <n v="82584.0"/>
        <n v="140120.0"/>
        <n v="72518.0"/>
        <n v="49203.0"/>
        <n v="42792.0"/>
        <n v="28389.0"/>
        <n v="20205.0"/>
        <n v="15441.0"/>
        <n v="12197.0"/>
      </sharedItems>
    </cacheField>
    <cacheField name="Ноябрь объем  (млн руб)" numFmtId="3">
      <sharedItems containsSemiMixedTypes="0" containsString="0" containsNumber="1" containsInteger="1">
        <n v="288975.0"/>
        <n v="171036.0"/>
        <n v="120759.0"/>
        <n v="89839.0"/>
        <n v="78653.0"/>
        <n v="69264.0"/>
        <n v="63876.0"/>
        <n v="57004.0"/>
        <n v="56925.0"/>
        <n v="47593.0"/>
        <n v="44379.0"/>
        <n v="42548.0"/>
        <n v="43144.0"/>
        <n v="40860.0"/>
        <n v="39598.0"/>
        <n v="33267.0"/>
        <n v="33220.0"/>
        <n v="34143.0"/>
        <n v="33435.0"/>
        <n v="31298.0"/>
        <n v="32057.0"/>
        <n v="28881.0"/>
        <n v="28054.0"/>
        <n v="26967.0"/>
        <n v="26347.0"/>
        <n v="25570.0"/>
        <n v="24719.0"/>
        <n v="24775.0"/>
        <n v="23473.0"/>
        <n v="19390.0"/>
        <n v="19597.0"/>
        <n v="19434.0"/>
        <n v="17971.0"/>
        <n v="17898.0"/>
        <n v="14822.0"/>
        <n v="17433.0"/>
        <n v="15959.0"/>
        <n v="15497.0"/>
        <n v="15357.0"/>
        <n v="15239.0"/>
        <n v="15046.0"/>
        <n v="15311.0"/>
        <n v="15394.0"/>
        <n v="14119.0"/>
        <n v="13964.0"/>
        <n v="14206.0"/>
        <n v="14463.0"/>
        <n v="13868.0"/>
        <n v="14087.0"/>
        <n v="12851.0"/>
        <n v="12993.0"/>
        <n v="12105.0"/>
        <n v="11999.0"/>
        <n v="12775.0"/>
        <n v="13127.0"/>
        <n v="11980.0"/>
        <n v="10634.0"/>
        <n v="10882.0"/>
        <n v="10507.0"/>
        <n v="10577.0"/>
        <n v="10017.0"/>
        <n v="9621.0"/>
        <n v="9666.0"/>
        <n v="8358.0"/>
        <n v="8265.0"/>
        <n v="8217.0"/>
        <n v="8475.0"/>
        <n v="8238.0"/>
        <n v="6694.0"/>
        <n v="6912.0"/>
        <n v="6859.0"/>
        <n v="7115.0"/>
        <n v="6244.0"/>
        <n v="5694.0"/>
        <n v="5594.0"/>
        <n v="5818.0"/>
        <n v="5712.0"/>
        <n v="5235.0"/>
        <n v="4298.0"/>
        <n v="3797.0"/>
        <n v="3434.0"/>
        <n v="2915.0"/>
        <n v="2717.0"/>
        <n v="1615.0"/>
        <n v="997.0"/>
        <n v="953.0"/>
        <n v="602.0"/>
      </sharedItems>
    </cacheField>
    <cacheField name="Ноябрь задолженность  (млн руб)" numFmtId="3">
      <sharedItems containsSemiMixedTypes="0" containsString="0" containsNumber="1" containsInteger="1">
        <n v="4400824.0"/>
        <n v="2943239.0"/>
        <n v="1909919.0"/>
        <n v="1596253.0"/>
        <n v="1498053.0"/>
        <n v="1122543.0"/>
        <n v="1168347.0"/>
        <n v="1070727.0"/>
        <n v="897208.0"/>
        <n v="740176.0"/>
        <n v="790410.0"/>
        <n v="608415.0"/>
        <n v="621002.0"/>
        <n v="716970.0"/>
        <n v="621995.0"/>
        <n v="572284.0"/>
        <n v="674808.0"/>
        <n v="600316.0"/>
        <n v="568450.0"/>
        <n v="507144.0"/>
        <n v="529520.0"/>
        <n v="448885.0"/>
        <n v="550836.0"/>
        <n v="409663.0"/>
        <n v="386633.0"/>
        <n v="422906.0"/>
        <n v="404325.0"/>
        <n v="381385.0"/>
        <n v="420849.0"/>
        <n v="366344.0"/>
        <n v="326942.0"/>
        <n v="287380.0"/>
        <n v="205793.0"/>
        <n v="246414.0"/>
        <n v="415454.0"/>
        <n v="260792.0"/>
        <n v="272402.0"/>
        <n v="232150.0"/>
        <n v="260236.0"/>
        <n v="227114.0"/>
        <n v="248768.0"/>
        <n v="234681.0"/>
        <n v="232452.0"/>
        <n v="227685.0"/>
        <n v="245859.0"/>
        <n v="243066.0"/>
        <n v="238113.0"/>
        <n v="222336.0"/>
        <n v="231926.0"/>
        <n v="242960.0"/>
        <n v="191499.0"/>
        <n v="189085.0"/>
        <n v="254795.0"/>
        <n v="187546.0"/>
        <n v="195483.0"/>
        <n v="218096.0"/>
        <n v="198089.0"/>
        <n v="181064.0"/>
        <n v="217980.0"/>
        <n v="155566.0"/>
        <n v="142575.0"/>
        <n v="149286.0"/>
        <n v="159089.0"/>
        <n v="172542.0"/>
        <n v="128923.0"/>
        <n v="129425.0"/>
        <n v="126962.0"/>
        <n v="117440.0"/>
        <n v="107333.0"/>
        <n v="119150.0"/>
        <n v="100565.0"/>
        <n v="103536.0"/>
        <n v="113683.0"/>
        <n v="105970.0"/>
        <n v="95889.0"/>
        <n v="96925.0"/>
        <n v="67238.0"/>
        <n v="91857.0"/>
        <n v="82105.0"/>
        <n v="140215.0"/>
        <n v="72598.0"/>
        <n v="49241.0"/>
        <n v="43001.0"/>
        <n v="28415.0"/>
        <n v="20248.0"/>
        <n v="15278.0"/>
        <n v="12165.0"/>
      </sharedItems>
    </cacheField>
    <cacheField name="Декабрь объем  (млн руб)" numFmtId="3">
      <sharedItems containsSemiMixedTypes="0" containsString="0" containsNumber="1" containsInteger="1">
        <n v="326662.0"/>
        <n v="196431.0"/>
        <n v="144626.0"/>
        <n v="108202.0"/>
        <n v="91526.0"/>
        <n v="82327.0"/>
        <n v="76596.0"/>
        <n v="70057.0"/>
        <n v="73021.0"/>
        <n v="56874.0"/>
        <n v="52587.0"/>
        <n v="48415.0"/>
        <n v="49599.0"/>
        <n v="48443.0"/>
        <n v="47333.0"/>
        <n v="39332.0"/>
        <n v="38643.0"/>
        <n v="40161.0"/>
        <n v="38587.0"/>
        <n v="35235.0"/>
        <n v="38639.0"/>
        <n v="34891.0"/>
        <n v="32459.0"/>
        <n v="31422.0"/>
        <n v="31496.0"/>
        <n v="30973.0"/>
        <n v="29017.0"/>
        <n v="29279.0"/>
        <n v="29650.0"/>
        <n v="22348.0"/>
        <n v="23256.0"/>
        <n v="22870.0"/>
        <n v="22578.0"/>
        <n v="20471.0"/>
        <n v="20226.0"/>
        <n v="21532.0"/>
        <n v="18953.0"/>
        <n v="17778.0"/>
        <n v="18216.0"/>
        <n v="17830.0"/>
        <n v="17391.0"/>
        <n v="18256.0"/>
        <n v="17047.0"/>
        <n v="17001.0"/>
        <n v="17929.0"/>
        <n v="16088.0"/>
        <n v="17305.0"/>
        <n v="16737.0"/>
        <n v="16921.0"/>
        <n v="16221.0"/>
        <n v="15065.0"/>
        <n v="13943.0"/>
        <n v="14295.0"/>
        <n v="14933.0"/>
        <n v="14889.0"/>
        <n v="14824.0"/>
        <n v="12828.0"/>
        <n v="12787.0"/>
        <n v="12829.0"/>
        <n v="12236.0"/>
        <n v="11431.0"/>
        <n v="11675.0"/>
        <n v="11275.0"/>
        <n v="10165.0"/>
        <n v="9770.0"/>
        <n v="9558.0"/>
        <n v="10124.0"/>
        <n v="10176.0"/>
        <n v="8658.0"/>
        <n v="8707.0"/>
        <n v="8203.0"/>
        <n v="7823.0"/>
        <n v="7903.0"/>
        <n v="7772.0"/>
        <n v="6171.0"/>
        <n v="6559.0"/>
        <n v="6978.0"/>
        <n v="6927.0"/>
        <n v="4815.0"/>
        <n v="4841.0"/>
        <n v="4201.0"/>
        <n v="3238.0"/>
        <n v="3009.0"/>
        <n v="1980.0"/>
        <n v="1058.0"/>
        <n v="1096.0"/>
        <n v="737.0"/>
      </sharedItems>
    </cacheField>
    <cacheField name="Декабрь задолженность  (млн руб)" numFmtId="3">
      <sharedItems containsSemiMixedTypes="0" containsString="0" containsNumber="1" containsInteger="1">
        <n v="4409128.0"/>
        <n v="2948609.0"/>
        <n v="1928260.0"/>
        <n v="1613670.0"/>
        <n v="1500272.0"/>
        <n v="1128678.0"/>
        <n v="1181097.0"/>
        <n v="1079034.0"/>
        <n v="910746.0"/>
        <n v="743951.0"/>
        <n v="793437.0"/>
        <n v="609591.0"/>
        <n v="624197.0"/>
        <n v="714916.0"/>
        <n v="626884.0"/>
        <n v="572494.0"/>
        <n v="677226.0"/>
        <n v="604559.0"/>
        <n v="570311.0"/>
        <n v="506700.0"/>
        <n v="534380.0"/>
        <n v="452730.0"/>
        <n v="550947.0"/>
        <n v="410675.0"/>
        <n v="387690.0"/>
        <n v="425770.0"/>
        <n v="404651.0"/>
        <n v="383235.0"/>
        <n v="427482.0"/>
        <n v="364757.0"/>
        <n v="329712.0"/>
        <n v="289712.0"/>
        <n v="211201.0"/>
        <n v="248175.0"/>
        <n v="416916.0"/>
        <n v="263753.0"/>
        <n v="272879.0"/>
        <n v="232781.0"/>
        <n v="260766.0"/>
        <n v="227569.0"/>
        <n v="248818.0"/>
        <n v="236726.0"/>
        <n v="233384.0"/>
        <n v="227693.0"/>
        <n v="249181.0"/>
        <n v="243094.0"/>
        <n v="239149.0"/>
        <n v="223049.0"/>
        <n v="233722.0"/>
        <n v="243784.0"/>
        <n v="191561.0"/>
        <n v="187904.0"/>
        <n v="252736.0"/>
        <n v="187466.0"/>
        <n v="195314.0"/>
        <n v="220625.0"/>
        <n v="197566.0"/>
        <n v="180872.0"/>
        <n v="216918.0"/>
        <n v="155644.0"/>
        <n v="142728.0"/>
        <n v="149764.0"/>
        <n v="160020.0"/>
        <n v="171930.0"/>
        <n v="128938.0"/>
        <n v="129389.0"/>
        <n v="127723.0"/>
        <n v="118783.0"/>
        <n v="107812.0"/>
        <n v="119759.0"/>
        <n v="100921.0"/>
        <n v="103908.0"/>
        <n v="113907.0"/>
        <n v="107968.0"/>
        <n v="95403.0"/>
        <n v="96836.0"/>
        <n v="68454.0"/>
        <n v="93795.0"/>
        <n v="80833.0"/>
        <n v="140021.0"/>
        <n v="72622.0"/>
        <n v="48789.0"/>
        <n v="43022.0"/>
        <n v="28321.0"/>
        <n v="19904.0"/>
        <n v="15054.0"/>
        <n v="1211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Объем кредитов по регионам" cacheId="0" dataCaption="" compact="0" compactData="0">
  <location ref="A1:M89" firstHeaderRow="0" firstDataRow="2" firstDataCol="0"/>
  <pivotFields>
    <pivotField name="Регионы" axis="axisRow" compact="0" numFmtId="49" outline="0" multipleItemSelectionAllowed="1" showAll="0" sortType="ascending">
      <items>
        <item x="26"/>
        <item x="58"/>
        <item x="36"/>
        <item x="38"/>
        <item x="55"/>
        <item x="31"/>
        <item x="53"/>
        <item x="86"/>
        <item x="16"/>
        <item x="52"/>
        <item x="37"/>
        <item x="23"/>
        <item x="42"/>
        <item x="21"/>
        <item x="0"/>
        <item x="2"/>
        <item x="76"/>
        <item x="83"/>
        <item x="49"/>
        <item x="60"/>
        <item x="15"/>
        <item x="75"/>
        <item x="33"/>
        <item x="45"/>
        <item x="74"/>
        <item x="80"/>
        <item x="19"/>
        <item x="41"/>
        <item x="68"/>
        <item x="3"/>
        <item x="13"/>
        <item x="62"/>
        <item x="54"/>
        <item x="17"/>
        <item x="50"/>
        <item x="81"/>
        <item x="1"/>
        <item x="51"/>
        <item x="12"/>
        <item x="71"/>
        <item x="10"/>
        <item x="27"/>
        <item x="25"/>
        <item x="64"/>
        <item x="46"/>
        <item x="14"/>
        <item x="22"/>
        <item x="70"/>
        <item x="73"/>
        <item x="82"/>
        <item x="7"/>
        <item x="44"/>
        <item x="56"/>
        <item x="85"/>
        <item x="77"/>
        <item x="65"/>
        <item x="57"/>
        <item x="32"/>
        <item x="67"/>
        <item x="66"/>
        <item x="34"/>
        <item x="72"/>
        <item x="6"/>
        <item x="79"/>
        <item x="69"/>
        <item x="8"/>
        <item x="48"/>
        <item x="11"/>
        <item x="24"/>
        <item x="63"/>
        <item x="5"/>
        <item x="59"/>
        <item x="20"/>
        <item x="61"/>
        <item x="40"/>
        <item x="43"/>
        <item x="30"/>
        <item x="4"/>
        <item x="18"/>
        <item x="28"/>
        <item x="47"/>
        <item x="29"/>
        <item x="9"/>
        <item x="78"/>
        <item x="35"/>
        <item x="84"/>
        <item x="39"/>
        <item t="default"/>
      </items>
    </pivotField>
    <pivotField name="Федеральные округа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Объем общее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Задолженность общее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Январь объем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Январ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Февраль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Феврал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Март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Март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Апрель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Апрел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Май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Май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Июнь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Июн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Июль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Июл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Август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Август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Сентябрь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Сентябр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Октябрь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Октябр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Ноябрь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Ноябр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Декабрь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Декабр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</pivotFields>
  <rowFields>
    <field x="0"/>
  </rowFields>
  <colFields>
    <field x="-2"/>
  </colFields>
  <dataFields>
    <dataField name="SUM of Объем общее (млн руб)" fld="2" baseField="0"/>
    <dataField name="SUM of Февраль объем  (млн руб)" fld="6" baseField="0"/>
    <dataField name="SUM of Март объем  (млн руб)" fld="8" baseField="0"/>
    <dataField name="SUM of Апрель объем  (млн руб)" fld="10" baseField="0"/>
    <dataField name="SUM of Май объем  (млн руб)" fld="12" baseField="0"/>
    <dataField name="SUM of Июнь объем  (млн руб)" fld="14" baseField="0"/>
    <dataField name="SUM of Июль объем  (млн руб)" fld="16" baseField="0"/>
    <dataField name="SUM of Август объем  (млн руб)" fld="18" baseField="0"/>
    <dataField name="SUM of Сентябрь объем  (млн руб)" fld="20" baseField="0"/>
    <dataField name="SUM of Октябрь объем  (млн руб)" fld="22" baseField="0"/>
    <dataField name="SUM of Ноябрь объем  (млн руб)" fld="24" baseField="0"/>
    <dataField name="SUM of Декабрь объем  (млн руб)" fld="26" baseField="0"/>
  </dataFields>
</pivotTableDefinition>
</file>

<file path=xl/pivotTables/pivotTable2.xml><?xml version="1.0" encoding="utf-8"?>
<pivotTableDefinition xmlns="http://schemas.openxmlformats.org/spreadsheetml/2006/main" name="Доля регионов в объеме кредитов" cacheId="0" dataCaption="" compact="0" compactData="0">
  <location ref="A1:N89" firstHeaderRow="0" firstDataRow="2" firstDataCol="0"/>
  <pivotFields>
    <pivotField name="Регионы" axis="axisRow" compact="0" numFmtId="49" outline="0" multipleItemSelectionAllowed="1" showAll="0" sortType="ascending">
      <items>
        <item x="26"/>
        <item x="58"/>
        <item x="36"/>
        <item x="38"/>
        <item x="55"/>
        <item x="31"/>
        <item x="53"/>
        <item x="86"/>
        <item x="16"/>
        <item x="52"/>
        <item x="37"/>
        <item x="23"/>
        <item x="42"/>
        <item x="21"/>
        <item x="0"/>
        <item x="2"/>
        <item x="76"/>
        <item x="83"/>
        <item x="49"/>
        <item x="60"/>
        <item x="15"/>
        <item x="75"/>
        <item x="33"/>
        <item x="45"/>
        <item x="74"/>
        <item x="80"/>
        <item x="19"/>
        <item x="41"/>
        <item x="68"/>
        <item x="3"/>
        <item x="13"/>
        <item x="62"/>
        <item x="54"/>
        <item x="17"/>
        <item x="50"/>
        <item x="81"/>
        <item x="1"/>
        <item x="51"/>
        <item x="12"/>
        <item x="71"/>
        <item x="10"/>
        <item x="27"/>
        <item x="25"/>
        <item x="64"/>
        <item x="46"/>
        <item x="14"/>
        <item x="22"/>
        <item x="70"/>
        <item x="73"/>
        <item x="82"/>
        <item x="7"/>
        <item x="44"/>
        <item x="56"/>
        <item x="85"/>
        <item x="77"/>
        <item x="65"/>
        <item x="57"/>
        <item x="32"/>
        <item x="67"/>
        <item x="66"/>
        <item x="34"/>
        <item x="72"/>
        <item x="6"/>
        <item x="79"/>
        <item x="69"/>
        <item x="8"/>
        <item x="48"/>
        <item x="11"/>
        <item x="24"/>
        <item x="63"/>
        <item x="5"/>
        <item x="59"/>
        <item x="20"/>
        <item x="61"/>
        <item x="40"/>
        <item x="43"/>
        <item x="30"/>
        <item x="4"/>
        <item x="18"/>
        <item x="28"/>
        <item x="47"/>
        <item x="29"/>
        <item x="9"/>
        <item x="78"/>
        <item x="35"/>
        <item x="84"/>
        <item x="39"/>
        <item t="default"/>
      </items>
    </pivotField>
    <pivotField name="Федеральные округа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Объем общее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Задолженность общее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Январь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Январ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Февраль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Феврал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Март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Март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Апрель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Апрел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Май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Май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Июнь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Июн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Июль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Июл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Август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Август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Сентябрь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Сентябр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Октябрь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Октябр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Ноябрь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Ноябр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Декабрь объем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Декабр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</pivotFields>
  <rowFields>
    <field x="0"/>
  </rowFields>
  <colFields>
    <field x="-2"/>
  </colFields>
  <dataFields>
    <dataField name="SUM of Объем общее (млн руб)" fld="2" showDataAs="percentOfTotal" baseField="0" numFmtId="10"/>
    <dataField name="SUM of Январь объем  (млн руб)" fld="4" showDataAs="percentOfTotal" baseField="0" numFmtId="10"/>
    <dataField name="SUM of Февраль объем  (млн руб)" fld="6" showDataAs="percentOfTotal" baseField="0" numFmtId="10"/>
    <dataField name="SUM of Март объем  (млн руб)" fld="8" showDataAs="percentOfTotal" baseField="0" numFmtId="10"/>
    <dataField name="SUM of Апрель объем  (млн руб)" fld="10" showDataAs="percentOfTotal" baseField="0" numFmtId="10"/>
    <dataField name="SUM of Май объем  (млн руб)" fld="12" showDataAs="percentOfTotal" baseField="0" numFmtId="10"/>
    <dataField name="SUM of Июнь объем  (млн руб)" fld="14" showDataAs="percentOfTotal" baseField="0" numFmtId="10"/>
    <dataField name="SUM of Июль объем  (млн руб)" fld="16" showDataAs="percentOfTotal" baseField="0" numFmtId="10"/>
    <dataField name="SUM of Август объем  (млн руб)" fld="18" showDataAs="percentOfTotal" baseField="0" numFmtId="10"/>
    <dataField name="SUM of Сентябрь объем  (млн руб)" fld="20" showDataAs="percentOfTotal" baseField="0" numFmtId="10"/>
    <dataField name="SUM of Октябрь объем  (млн руб)" fld="22" showDataAs="percentOfTotal" baseField="0" numFmtId="10"/>
    <dataField name="SUM of Ноябрь объем  (млн руб)" fld="24" showDataAs="percentOfTotal" baseField="0" numFmtId="10"/>
    <dataField name="SUM of Декабрь объем  (млн руб)" fld="26" showDataAs="percentOfTotal" baseField="0" numFmtId="10"/>
  </dataFields>
</pivotTableDefinition>
</file>

<file path=xl/pivotTables/pivotTable3.xml><?xml version="1.0" encoding="utf-8"?>
<pivotTableDefinition xmlns="http://schemas.openxmlformats.org/spreadsheetml/2006/main" name="Объем и задолженность по округа" cacheId="0" dataCaption="" compact="0" compactData="0">
  <location ref="A1:D10" firstHeaderRow="0" firstDataRow="3" firstDataCol="0"/>
  <pivotFields>
    <pivotField name="Регионы" axis="axisRow" compact="0" numFmtId="49" outline="0" multipleItemSelectionAllowed="1" showAll="0" sortType="ascending">
      <items>
        <item x="26"/>
        <item x="58"/>
        <item x="36"/>
        <item x="38"/>
        <item x="55"/>
        <item x="31"/>
        <item x="53"/>
        <item x="86"/>
        <item x="16"/>
        <item x="52"/>
        <item x="37"/>
        <item x="23"/>
        <item x="42"/>
        <item x="21"/>
        <item x="0"/>
        <item x="2"/>
        <item x="76"/>
        <item x="83"/>
        <item x="49"/>
        <item x="60"/>
        <item x="15"/>
        <item x="75"/>
        <item x="33"/>
        <item x="45"/>
        <item x="74"/>
        <item x="80"/>
        <item x="19"/>
        <item x="41"/>
        <item x="68"/>
        <item x="3"/>
        <item x="13"/>
        <item x="62"/>
        <item x="54"/>
        <item x="17"/>
        <item x="50"/>
        <item x="81"/>
        <item x="1"/>
        <item x="51"/>
        <item x="12"/>
        <item x="71"/>
        <item x="10"/>
        <item x="27"/>
        <item x="25"/>
        <item x="64"/>
        <item x="46"/>
        <item x="14"/>
        <item x="22"/>
        <item x="70"/>
        <item x="73"/>
        <item x="82"/>
        <item x="7"/>
        <item x="44"/>
        <item x="56"/>
        <item x="85"/>
        <item x="77"/>
        <item x="65"/>
        <item x="57"/>
        <item x="32"/>
        <item x="67"/>
        <item x="66"/>
        <item x="34"/>
        <item x="72"/>
        <item x="6"/>
        <item x="79"/>
        <item x="69"/>
        <item x="8"/>
        <item x="48"/>
        <item x="11"/>
        <item x="24"/>
        <item x="63"/>
        <item x="5"/>
        <item x="59"/>
        <item x="20"/>
        <item x="61"/>
        <item x="40"/>
        <item x="43"/>
        <item x="30"/>
        <item x="4"/>
        <item x="18"/>
        <item x="28"/>
        <item x="47"/>
        <item x="29"/>
        <item x="9"/>
        <item x="78"/>
        <item x="35"/>
        <item x="84"/>
        <item x="39"/>
        <item t="default"/>
      </items>
    </pivotField>
    <pivotField name="Федеральные округа" axis="axisRow" compact="0" numFmtId="49" outline="0" multipleItemSelectionAllowed="1" showAll="0" sortType="ascending">
      <items>
        <item sd="0" x="7"/>
        <item sd="0" x="4"/>
        <item sd="0" x="1"/>
        <item sd="0" x="6"/>
        <item sd="0" x="5"/>
        <item sd="0" x="3"/>
        <item sd="0" x="0"/>
        <item sd="0" x="2"/>
        <item t="default"/>
      </items>
    </pivotField>
    <pivotField name="Объем общее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Задолженность общее  (млн руб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Январь объем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Январ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Февраль объем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Феврал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Март объем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Март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Апрель объем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Апрел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Май объем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Май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Июнь объем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Июн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Июль объем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Июл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Август объем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Август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Сентябрь объем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Сентябр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Октябрь объем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Октябр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Ноябрь объем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Ноябр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Декабрь объем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Декабрь задолженность  (млн руб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</pivotFields>
  <rowFields>
    <field x="1"/>
    <field x="0"/>
  </rowFields>
  <colFields>
    <field x="-2"/>
  </colFields>
  <dataFields>
    <dataField name="SUM of Объем общее (млн руб)" fld="2" baseField="0"/>
    <dataField name="SUM of Задолженность общее  (млн руб)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88"/>
    <col customWidth="1" min="3" max="3" width="13.75"/>
    <col customWidth="1" min="4" max="4" width="21.5"/>
    <col customWidth="1" min="5" max="5" width="14.75"/>
    <col customWidth="1" min="6" max="6" width="22.0"/>
    <col customWidth="1" min="7" max="7" width="15.88"/>
    <col customWidth="1" min="8" max="8" width="22.88"/>
    <col customWidth="1" min="10" max="10" width="19.25"/>
    <col customWidth="1" min="11" max="11" width="13.25"/>
    <col customWidth="1" min="12" max="12" width="21.5"/>
    <col customWidth="1" min="14" max="14" width="18.63"/>
    <col customWidth="1" min="16" max="16" width="19.38"/>
    <col customWidth="1" min="18" max="18" width="19.38"/>
    <col customWidth="1" min="19" max="19" width="13.5"/>
    <col customWidth="1" min="20" max="20" width="20.75"/>
    <col customWidth="1" min="21" max="21" width="15.25"/>
    <col customWidth="1" min="22" max="22" width="22.5"/>
    <col customWidth="1" min="23" max="23" width="14.75"/>
    <col customWidth="1" min="24" max="24" width="21.88"/>
    <col customWidth="1" min="25" max="25" width="14.13"/>
    <col customWidth="1" min="26" max="26" width="21.38"/>
    <col customWidth="1" min="27" max="27" width="14.5"/>
    <col customWidth="1" min="28" max="28" width="23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3" t="s">
        <v>28</v>
      </c>
      <c r="B2" s="3" t="str">
        <f>VLOOKUP(A2,'Примечания'!$A:$B,2,0)</f>
        <v>ЦФО</v>
      </c>
      <c r="C2" s="4">
        <f t="shared" ref="C2:D2" si="1">E2+G2+I2+K2+M2+O2+Q2+S2+U2+W2+Y2+AA2</f>
        <v>3007763</v>
      </c>
      <c r="D2" s="4">
        <f t="shared" si="1"/>
        <v>51422135</v>
      </c>
      <c r="E2" s="5">
        <v>186725.0</v>
      </c>
      <c r="F2" s="5">
        <v>4208666.0</v>
      </c>
      <c r="G2" s="5">
        <v>205325.0</v>
      </c>
      <c r="H2" s="5">
        <v>4209311.0</v>
      </c>
      <c r="I2" s="5">
        <v>232037.0</v>
      </c>
      <c r="J2" s="5">
        <v>4218232.0</v>
      </c>
      <c r="K2" s="5">
        <v>231562.0</v>
      </c>
      <c r="L2" s="5">
        <v>4223317.0</v>
      </c>
      <c r="M2" s="5">
        <v>230539.0</v>
      </c>
      <c r="N2" s="5">
        <v>4239331.0</v>
      </c>
      <c r="O2" s="5">
        <v>235787.0</v>
      </c>
      <c r="P2" s="5">
        <v>4248421.0</v>
      </c>
      <c r="Q2" s="5">
        <v>252022.0</v>
      </c>
      <c r="R2" s="5">
        <v>4265347.0</v>
      </c>
      <c r="S2" s="5">
        <v>264348.0</v>
      </c>
      <c r="T2" s="5">
        <v>4295817.0</v>
      </c>
      <c r="U2" s="5">
        <v>269103.0</v>
      </c>
      <c r="V2" s="5">
        <v>4333273.0</v>
      </c>
      <c r="W2" s="5">
        <v>284678.0</v>
      </c>
      <c r="X2" s="5">
        <v>4370468.0</v>
      </c>
      <c r="Y2" s="5">
        <v>288975.0</v>
      </c>
      <c r="Z2" s="5">
        <v>4400824.0</v>
      </c>
      <c r="AA2" s="5">
        <v>326662.0</v>
      </c>
      <c r="AB2" s="5">
        <v>4409128.0</v>
      </c>
    </row>
    <row r="3">
      <c r="A3" s="3" t="s">
        <v>29</v>
      </c>
      <c r="B3" s="3" t="str">
        <f>VLOOKUP(A3,'Примечания'!$A:$B,2,0)</f>
        <v>ЦФО</v>
      </c>
      <c r="C3" s="4">
        <f t="shared" ref="C3:D3" si="2">E3+G3+I3+K3+M3+O3+Q3+S3+U3+W3+Y3+AA3</f>
        <v>1804595</v>
      </c>
      <c r="D3" s="4">
        <f t="shared" si="2"/>
        <v>34616205</v>
      </c>
      <c r="E3" s="5">
        <v>111429.0</v>
      </c>
      <c r="F3" s="5">
        <v>2855222.0</v>
      </c>
      <c r="G3" s="5">
        <v>120510.0</v>
      </c>
      <c r="H3" s="5">
        <v>2849673.0</v>
      </c>
      <c r="I3" s="5">
        <v>136117.0</v>
      </c>
      <c r="J3" s="5">
        <v>2851648.0</v>
      </c>
      <c r="K3" s="5">
        <v>135141.0</v>
      </c>
      <c r="L3" s="5">
        <v>2853129.0</v>
      </c>
      <c r="M3" s="5">
        <v>139810.0</v>
      </c>
      <c r="N3" s="5">
        <v>2864894.0</v>
      </c>
      <c r="O3" s="5">
        <v>141043.0</v>
      </c>
      <c r="P3" s="5">
        <v>2866710.0</v>
      </c>
      <c r="Q3" s="5">
        <v>153628.0</v>
      </c>
      <c r="R3" s="5">
        <v>2862520.0</v>
      </c>
      <c r="S3" s="5">
        <v>163586.0</v>
      </c>
      <c r="T3" s="5">
        <v>2886151.0</v>
      </c>
      <c r="U3" s="5">
        <v>161819.0</v>
      </c>
      <c r="V3" s="5">
        <v>2904394.0</v>
      </c>
      <c r="W3" s="5">
        <v>174045.0</v>
      </c>
      <c r="X3" s="5">
        <v>2930016.0</v>
      </c>
      <c r="Y3" s="5">
        <v>171036.0</v>
      </c>
      <c r="Z3" s="5">
        <v>2943239.0</v>
      </c>
      <c r="AA3" s="5">
        <v>196431.0</v>
      </c>
      <c r="AB3" s="5">
        <v>2948609.0</v>
      </c>
    </row>
    <row r="4">
      <c r="A4" s="3" t="s">
        <v>30</v>
      </c>
      <c r="B4" s="3" t="str">
        <f>VLOOKUP(A4,'Примечания'!$A:$B,2,0)</f>
        <v>СЗФО</v>
      </c>
      <c r="C4" s="4">
        <f t="shared" ref="C4:D4" si="3">E4+G4+I4+K4+M4+O4+Q4+S4+U4+W4+Y4+AA4</f>
        <v>1260287</v>
      </c>
      <c r="D4" s="4">
        <f t="shared" si="3"/>
        <v>22320395</v>
      </c>
      <c r="E4" s="5">
        <v>75195.0</v>
      </c>
      <c r="F4" s="5">
        <v>1830749.0</v>
      </c>
      <c r="G4" s="5">
        <v>82778.0</v>
      </c>
      <c r="H4" s="5">
        <v>1826667.0</v>
      </c>
      <c r="I4" s="5">
        <v>93989.0</v>
      </c>
      <c r="J4" s="5">
        <v>1828352.0</v>
      </c>
      <c r="K4" s="5">
        <v>94296.0</v>
      </c>
      <c r="L4" s="5">
        <v>1831717.0</v>
      </c>
      <c r="M4" s="5">
        <v>96291.0</v>
      </c>
      <c r="N4" s="5">
        <v>1839821.0</v>
      </c>
      <c r="O4" s="5">
        <v>98542.0</v>
      </c>
      <c r="P4" s="5">
        <v>1846241.0</v>
      </c>
      <c r="Q4" s="5">
        <v>104593.0</v>
      </c>
      <c r="R4" s="5">
        <v>1844711.0</v>
      </c>
      <c r="S4" s="5">
        <v>111507.0</v>
      </c>
      <c r="T4" s="5">
        <v>1859723.0</v>
      </c>
      <c r="U4" s="5">
        <v>115583.0</v>
      </c>
      <c r="V4" s="5">
        <v>1878060.0</v>
      </c>
      <c r="W4" s="5">
        <v>122128.0</v>
      </c>
      <c r="X4" s="5">
        <v>1896175.0</v>
      </c>
      <c r="Y4" s="5">
        <v>120759.0</v>
      </c>
      <c r="Z4" s="5">
        <v>1909919.0</v>
      </c>
      <c r="AA4" s="5">
        <v>144626.0</v>
      </c>
      <c r="AB4" s="5">
        <v>1928260.0</v>
      </c>
    </row>
    <row r="5">
      <c r="A5" s="3" t="s">
        <v>31</v>
      </c>
      <c r="B5" s="3" t="str">
        <f>VLOOKUP(A5,'Примечания'!$A:$B,2,0)</f>
        <v>ЮФО</v>
      </c>
      <c r="C5" s="4">
        <f t="shared" ref="C5:D5" si="4">E5+G5+I5+K5+M5+O5+Q5+S5+U5+W5+Y5+AA5</f>
        <v>950912</v>
      </c>
      <c r="D5" s="4">
        <f t="shared" si="4"/>
        <v>18679592</v>
      </c>
      <c r="E5" s="5">
        <v>59494.0</v>
      </c>
      <c r="F5" s="5">
        <v>1530523.0</v>
      </c>
      <c r="G5" s="5">
        <v>62019.0</v>
      </c>
      <c r="H5" s="5">
        <v>1527763.0</v>
      </c>
      <c r="I5" s="5">
        <v>72505.0</v>
      </c>
      <c r="J5" s="5">
        <v>1531028.0</v>
      </c>
      <c r="K5" s="5">
        <v>71303.0</v>
      </c>
      <c r="L5" s="5">
        <v>1534060.0</v>
      </c>
      <c r="M5" s="5">
        <v>72845.0</v>
      </c>
      <c r="N5" s="5">
        <v>1540875.0</v>
      </c>
      <c r="O5" s="5">
        <v>75024.0</v>
      </c>
      <c r="P5" s="5">
        <v>1545883.0</v>
      </c>
      <c r="Q5" s="5">
        <v>80938.0</v>
      </c>
      <c r="R5" s="5">
        <v>1548264.0</v>
      </c>
      <c r="S5" s="5">
        <v>84200.0</v>
      </c>
      <c r="T5" s="5">
        <v>1558101.0</v>
      </c>
      <c r="U5" s="5">
        <v>83199.0</v>
      </c>
      <c r="V5" s="5">
        <v>1568795.0</v>
      </c>
      <c r="W5" s="5">
        <v>91344.0</v>
      </c>
      <c r="X5" s="5">
        <v>1584377.0</v>
      </c>
      <c r="Y5" s="5">
        <v>89839.0</v>
      </c>
      <c r="Z5" s="5">
        <v>1596253.0</v>
      </c>
      <c r="AA5" s="5">
        <v>108202.0</v>
      </c>
      <c r="AB5" s="5">
        <v>1613670.0</v>
      </c>
    </row>
    <row r="6">
      <c r="A6" s="3" t="s">
        <v>32</v>
      </c>
      <c r="B6" s="3" t="str">
        <f>VLOOKUP(A6,'Примечания'!$A:$B,2,0)</f>
        <v>УФО</v>
      </c>
      <c r="C6" s="4">
        <f t="shared" ref="C6:D6" si="5">E6+G6+I6+K6+M6+O6+Q6+S6+U6+W6+Y6+AA6</f>
        <v>834483</v>
      </c>
      <c r="D6" s="4">
        <f t="shared" si="5"/>
        <v>17587655</v>
      </c>
      <c r="E6" s="5">
        <v>48313.0</v>
      </c>
      <c r="F6" s="5">
        <v>1454366.0</v>
      </c>
      <c r="G6" s="5">
        <v>52342.0</v>
      </c>
      <c r="H6" s="5">
        <v>1449306.0</v>
      </c>
      <c r="I6" s="5">
        <v>59943.0</v>
      </c>
      <c r="J6" s="5">
        <v>1447376.0</v>
      </c>
      <c r="K6" s="5">
        <v>64147.0</v>
      </c>
      <c r="L6" s="5">
        <v>1447788.0</v>
      </c>
      <c r="M6" s="5">
        <v>64015.0</v>
      </c>
      <c r="N6" s="5">
        <v>1452376.0</v>
      </c>
      <c r="O6" s="5">
        <v>66498.0</v>
      </c>
      <c r="P6" s="5">
        <v>1453169.0</v>
      </c>
      <c r="Q6" s="5">
        <v>74172.0</v>
      </c>
      <c r="R6" s="5">
        <v>1451768.0</v>
      </c>
      <c r="S6" s="5">
        <v>79311.0</v>
      </c>
      <c r="T6" s="5">
        <v>1468076.0</v>
      </c>
      <c r="U6" s="5">
        <v>74038.0</v>
      </c>
      <c r="V6" s="5">
        <v>1475802.0</v>
      </c>
      <c r="W6" s="5">
        <v>81525.0</v>
      </c>
      <c r="X6" s="5">
        <v>1489303.0</v>
      </c>
      <c r="Y6" s="5">
        <v>78653.0</v>
      </c>
      <c r="Z6" s="5">
        <v>1498053.0</v>
      </c>
      <c r="AA6" s="5">
        <v>91526.0</v>
      </c>
      <c r="AB6" s="5">
        <v>1500272.0</v>
      </c>
    </row>
    <row r="7">
      <c r="A7" s="3" t="s">
        <v>33</v>
      </c>
      <c r="B7" s="3" t="str">
        <f>VLOOKUP(A7,'Примечания'!$A:$B,2,0)</f>
        <v>УФО</v>
      </c>
      <c r="C7" s="4">
        <f t="shared" ref="C7:D7" si="6">E7+G7+I7+K7+M7+O7+Q7+S7+U7+W7+Y7+AA7</f>
        <v>735598</v>
      </c>
      <c r="D7" s="4">
        <f t="shared" si="6"/>
        <v>13172610</v>
      </c>
      <c r="E7" s="5">
        <v>45186.0</v>
      </c>
      <c r="F7" s="5">
        <v>1088021.0</v>
      </c>
      <c r="G7" s="5">
        <v>47782.0</v>
      </c>
      <c r="H7" s="5">
        <v>1083727.0</v>
      </c>
      <c r="I7" s="5">
        <v>54263.0</v>
      </c>
      <c r="J7" s="5">
        <v>1082831.0</v>
      </c>
      <c r="K7" s="5">
        <v>54368.0</v>
      </c>
      <c r="L7" s="5">
        <v>1084501.0</v>
      </c>
      <c r="M7" s="5">
        <v>55758.0</v>
      </c>
      <c r="N7" s="5">
        <v>1088230.0</v>
      </c>
      <c r="O7" s="5">
        <v>58471.0</v>
      </c>
      <c r="P7" s="5">
        <v>1088509.0</v>
      </c>
      <c r="Q7" s="5">
        <v>62885.0</v>
      </c>
      <c r="R7" s="5">
        <v>1086247.0</v>
      </c>
      <c r="S7" s="5">
        <v>66749.0</v>
      </c>
      <c r="T7" s="5">
        <v>1096564.0</v>
      </c>
      <c r="U7" s="5">
        <v>66010.0</v>
      </c>
      <c r="V7" s="5">
        <v>1104926.0</v>
      </c>
      <c r="W7" s="5">
        <v>72535.0</v>
      </c>
      <c r="X7" s="5">
        <v>1117833.0</v>
      </c>
      <c r="Y7" s="5">
        <v>69264.0</v>
      </c>
      <c r="Z7" s="5">
        <v>1122543.0</v>
      </c>
      <c r="AA7" s="5">
        <v>82327.0</v>
      </c>
      <c r="AB7" s="5">
        <v>1128678.0</v>
      </c>
    </row>
    <row r="8">
      <c r="A8" s="3" t="s">
        <v>34</v>
      </c>
      <c r="B8" s="3" t="str">
        <f>VLOOKUP(A8,'Примечания'!$A:$B,2,0)</f>
        <v>ПФО</v>
      </c>
      <c r="C8" s="4">
        <f t="shared" ref="C8:D8" si="7">E8+G8+I8+K8+M8+O8+Q8+S8+U8+W8+Y8+AA8</f>
        <v>652959</v>
      </c>
      <c r="D8" s="4">
        <f t="shared" si="7"/>
        <v>13558441</v>
      </c>
      <c r="E8" s="5">
        <v>36151.0</v>
      </c>
      <c r="F8" s="5">
        <v>1109504.0</v>
      </c>
      <c r="G8" s="5">
        <v>40307.0</v>
      </c>
      <c r="H8" s="5">
        <v>1106154.0</v>
      </c>
      <c r="I8" s="5">
        <v>47019.0</v>
      </c>
      <c r="J8" s="5">
        <v>1106308.0</v>
      </c>
      <c r="K8" s="5">
        <v>47361.0</v>
      </c>
      <c r="L8" s="5">
        <v>1108802.0</v>
      </c>
      <c r="M8" s="5">
        <v>49433.0</v>
      </c>
      <c r="N8" s="5">
        <v>1114553.0</v>
      </c>
      <c r="O8" s="5">
        <v>49967.0</v>
      </c>
      <c r="P8" s="5">
        <v>1116400.0</v>
      </c>
      <c r="Q8" s="5">
        <v>55958.0</v>
      </c>
      <c r="R8" s="5">
        <v>1118820.0</v>
      </c>
      <c r="S8" s="5">
        <v>58997.0</v>
      </c>
      <c r="T8" s="5">
        <v>1130953.0</v>
      </c>
      <c r="U8" s="5">
        <v>59303.0</v>
      </c>
      <c r="V8" s="5">
        <v>1140409.0</v>
      </c>
      <c r="W8" s="5">
        <v>67991.0</v>
      </c>
      <c r="X8" s="5">
        <v>1157094.0</v>
      </c>
      <c r="Y8" s="5">
        <v>63876.0</v>
      </c>
      <c r="Z8" s="5">
        <v>1168347.0</v>
      </c>
      <c r="AA8" s="5">
        <v>76596.0</v>
      </c>
      <c r="AB8" s="5">
        <v>1181097.0</v>
      </c>
    </row>
    <row r="9">
      <c r="A9" s="3" t="s">
        <v>35</v>
      </c>
      <c r="B9" s="3" t="str">
        <f>VLOOKUP(A9,'Примечания'!$A:$B,2,0)</f>
        <v>ПФО</v>
      </c>
      <c r="C9" s="4">
        <f t="shared" ref="C9:D9" si="8">E9+G9+I9+K9+M9+O9+Q9+S9+U9+W9+Y9+AA9</f>
        <v>596428</v>
      </c>
      <c r="D9" s="4">
        <f t="shared" si="8"/>
        <v>12573577</v>
      </c>
      <c r="E9" s="5">
        <v>34209.0</v>
      </c>
      <c r="F9" s="5">
        <v>1041904.0</v>
      </c>
      <c r="G9" s="5">
        <v>37233.0</v>
      </c>
      <c r="H9" s="5">
        <v>1037421.0</v>
      </c>
      <c r="I9" s="5">
        <v>42691.0</v>
      </c>
      <c r="J9" s="5">
        <v>1035648.0</v>
      </c>
      <c r="K9" s="5">
        <v>44222.0</v>
      </c>
      <c r="L9" s="5">
        <v>1034469.0</v>
      </c>
      <c r="M9" s="5">
        <v>45119.0</v>
      </c>
      <c r="N9" s="5">
        <v>1037494.0</v>
      </c>
      <c r="O9" s="5">
        <v>46920.0</v>
      </c>
      <c r="P9" s="5">
        <v>1038237.0</v>
      </c>
      <c r="Q9" s="5">
        <v>51768.0</v>
      </c>
      <c r="R9" s="5">
        <v>1035439.0</v>
      </c>
      <c r="S9" s="5">
        <v>55642.0</v>
      </c>
      <c r="T9" s="5">
        <v>1046508.0</v>
      </c>
      <c r="U9" s="5">
        <v>52663.0</v>
      </c>
      <c r="V9" s="5">
        <v>1053690.0</v>
      </c>
      <c r="W9" s="5">
        <v>58900.0</v>
      </c>
      <c r="X9" s="5">
        <v>1063006.0</v>
      </c>
      <c r="Y9" s="5">
        <v>57004.0</v>
      </c>
      <c r="Z9" s="5">
        <v>1070727.0</v>
      </c>
      <c r="AA9" s="5">
        <v>70057.0</v>
      </c>
      <c r="AB9" s="5">
        <v>1079034.0</v>
      </c>
    </row>
    <row r="10">
      <c r="A10" s="3" t="s">
        <v>36</v>
      </c>
      <c r="B10" s="3" t="str">
        <f>VLOOKUP(A10,'Примечания'!$A:$B,2,0)</f>
        <v>ЮФО</v>
      </c>
      <c r="C10" s="4">
        <f t="shared" ref="C10:D10" si="9">E10+G10+I10+K10+M10+O10+Q10+S10+U10+W10+Y10+AA10</f>
        <v>589286</v>
      </c>
      <c r="D10" s="4">
        <f t="shared" si="9"/>
        <v>10495448</v>
      </c>
      <c r="E10" s="5">
        <v>35128.0</v>
      </c>
      <c r="F10" s="5">
        <v>862591.0</v>
      </c>
      <c r="G10" s="5">
        <v>36545.0</v>
      </c>
      <c r="H10" s="5">
        <v>859371.0</v>
      </c>
      <c r="I10" s="5">
        <v>42987.0</v>
      </c>
      <c r="J10" s="5">
        <v>860045.0</v>
      </c>
      <c r="K10" s="5">
        <v>44079.0</v>
      </c>
      <c r="L10" s="5">
        <v>862042.0</v>
      </c>
      <c r="M10" s="5">
        <v>45029.0</v>
      </c>
      <c r="N10" s="5">
        <v>866282.0</v>
      </c>
      <c r="O10" s="5">
        <v>45906.0</v>
      </c>
      <c r="P10" s="5">
        <v>867493.0</v>
      </c>
      <c r="Q10" s="5">
        <v>49471.0</v>
      </c>
      <c r="R10" s="5">
        <v>866324.0</v>
      </c>
      <c r="S10" s="5">
        <v>52119.0</v>
      </c>
      <c r="T10" s="5">
        <v>874118.0</v>
      </c>
      <c r="U10" s="5">
        <v>51007.0</v>
      </c>
      <c r="V10" s="5">
        <v>879884.0</v>
      </c>
      <c r="W10" s="5">
        <v>57069.0</v>
      </c>
      <c r="X10" s="5">
        <v>889344.0</v>
      </c>
      <c r="Y10" s="5">
        <v>56925.0</v>
      </c>
      <c r="Z10" s="5">
        <v>897208.0</v>
      </c>
      <c r="AA10" s="5">
        <v>73021.0</v>
      </c>
      <c r="AB10" s="5">
        <v>910746.0</v>
      </c>
    </row>
    <row r="11">
      <c r="A11" s="3" t="s">
        <v>37</v>
      </c>
      <c r="B11" s="3" t="str">
        <f>VLOOKUP(A11,'Примечания'!$A:$B,2,0)</f>
        <v>УФО</v>
      </c>
      <c r="C11" s="4">
        <f t="shared" ref="C11:D11" si="10">E11+G11+I11+K11+M11+O11+Q11+S11+U11+W11+Y11+AA11</f>
        <v>508567</v>
      </c>
      <c r="D11" s="4">
        <f t="shared" si="10"/>
        <v>8701496</v>
      </c>
      <c r="E11" s="5">
        <v>30583.0</v>
      </c>
      <c r="F11" s="5">
        <v>721272.0</v>
      </c>
      <c r="G11" s="5">
        <v>33054.0</v>
      </c>
      <c r="H11" s="5">
        <v>717953.0</v>
      </c>
      <c r="I11" s="5">
        <v>37500.0</v>
      </c>
      <c r="J11" s="5">
        <v>716616.0</v>
      </c>
      <c r="K11" s="5">
        <v>37471.0</v>
      </c>
      <c r="L11" s="5">
        <v>716560.0</v>
      </c>
      <c r="M11" s="5">
        <v>38540.0</v>
      </c>
      <c r="N11" s="5">
        <v>718736.0</v>
      </c>
      <c r="O11" s="5">
        <v>40529.0</v>
      </c>
      <c r="P11" s="5">
        <v>718582.0</v>
      </c>
      <c r="Q11" s="5">
        <v>44057.0</v>
      </c>
      <c r="R11" s="5">
        <v>716825.0</v>
      </c>
      <c r="S11" s="5">
        <v>47327.0</v>
      </c>
      <c r="T11" s="5">
        <v>724698.0</v>
      </c>
      <c r="U11" s="5">
        <v>45510.0</v>
      </c>
      <c r="V11" s="5">
        <v>729638.0</v>
      </c>
      <c r="W11" s="5">
        <v>49529.0</v>
      </c>
      <c r="X11" s="5">
        <v>736489.0</v>
      </c>
      <c r="Y11" s="5">
        <v>47593.0</v>
      </c>
      <c r="Z11" s="5">
        <v>740176.0</v>
      </c>
      <c r="AA11" s="5">
        <v>56874.0</v>
      </c>
      <c r="AB11" s="5">
        <v>743951.0</v>
      </c>
    </row>
    <row r="12">
      <c r="A12" s="3" t="s">
        <v>38</v>
      </c>
      <c r="B12" s="3" t="str">
        <f>VLOOKUP(A12,'Примечания'!$A:$B,2,0)</f>
        <v>СФО</v>
      </c>
      <c r="C12" s="4">
        <f t="shared" ref="C12:D12" si="11">E12+G12+I12+K12+M12+O12+Q12+S12+U12+W12+Y12+AA12</f>
        <v>478363</v>
      </c>
      <c r="D12" s="4">
        <f t="shared" si="11"/>
        <v>9356891</v>
      </c>
      <c r="E12" s="5">
        <v>28964.0</v>
      </c>
      <c r="F12" s="5">
        <v>775907.0</v>
      </c>
      <c r="G12" s="5">
        <v>31224.0</v>
      </c>
      <c r="H12" s="5">
        <v>773096.0</v>
      </c>
      <c r="I12" s="5">
        <v>36246.0</v>
      </c>
      <c r="J12" s="5">
        <v>773350.0</v>
      </c>
      <c r="K12" s="5">
        <v>36195.0</v>
      </c>
      <c r="L12" s="5">
        <v>774091.0</v>
      </c>
      <c r="M12" s="5">
        <v>36900.0</v>
      </c>
      <c r="N12" s="5">
        <v>776585.0</v>
      </c>
      <c r="O12" s="5">
        <v>38422.0</v>
      </c>
      <c r="P12" s="5">
        <v>774824.0</v>
      </c>
      <c r="Q12" s="5">
        <v>41357.0</v>
      </c>
      <c r="R12" s="5">
        <v>773364.0</v>
      </c>
      <c r="S12" s="5">
        <v>43659.0</v>
      </c>
      <c r="T12" s="5">
        <v>779831.0</v>
      </c>
      <c r="U12" s="5">
        <v>41721.0</v>
      </c>
      <c r="V12" s="5">
        <v>782704.0</v>
      </c>
      <c r="W12" s="5">
        <v>46709.0</v>
      </c>
      <c r="X12" s="5">
        <v>789292.0</v>
      </c>
      <c r="Y12" s="5">
        <v>44379.0</v>
      </c>
      <c r="Z12" s="5">
        <v>790410.0</v>
      </c>
      <c r="AA12" s="5">
        <v>52587.0</v>
      </c>
      <c r="AB12" s="5">
        <v>793437.0</v>
      </c>
    </row>
    <row r="13">
      <c r="A13" s="3" t="s">
        <v>39</v>
      </c>
      <c r="B13" s="3" t="str">
        <f>VLOOKUP(A13,'Примечания'!$A:$B,2,0)</f>
        <v>ПФО</v>
      </c>
      <c r="C13" s="4">
        <f t="shared" ref="C13:D13" si="12">E13+G13+I13+K13+M13+O13+Q13+S13+U13+W13+Y13+AA13</f>
        <v>452202</v>
      </c>
      <c r="D13" s="4">
        <f t="shared" si="12"/>
        <v>7196556</v>
      </c>
      <c r="E13" s="5">
        <v>27962.0</v>
      </c>
      <c r="F13" s="5">
        <v>601169.0</v>
      </c>
      <c r="G13" s="5">
        <v>29402.0</v>
      </c>
      <c r="H13" s="5">
        <v>597050.0</v>
      </c>
      <c r="I13" s="5">
        <v>33763.0</v>
      </c>
      <c r="J13" s="5">
        <v>595619.0</v>
      </c>
      <c r="K13" s="5">
        <v>33797.0</v>
      </c>
      <c r="L13" s="5">
        <v>595025.0</v>
      </c>
      <c r="M13" s="5">
        <v>35551.0</v>
      </c>
      <c r="N13" s="5">
        <v>596882.0</v>
      </c>
      <c r="O13" s="5">
        <v>36181.0</v>
      </c>
      <c r="P13" s="5">
        <v>595593.0</v>
      </c>
      <c r="Q13" s="5">
        <v>39231.0</v>
      </c>
      <c r="R13" s="5">
        <v>592733.0</v>
      </c>
      <c r="S13" s="5">
        <v>41238.0</v>
      </c>
      <c r="T13" s="5">
        <v>597725.0</v>
      </c>
      <c r="U13" s="5">
        <v>40453.0</v>
      </c>
      <c r="V13" s="5">
        <v>601304.0</v>
      </c>
      <c r="W13" s="5">
        <v>43661.0</v>
      </c>
      <c r="X13" s="5">
        <v>605450.0</v>
      </c>
      <c r="Y13" s="5">
        <v>42548.0</v>
      </c>
      <c r="Z13" s="5">
        <v>608415.0</v>
      </c>
      <c r="AA13" s="5">
        <v>48415.0</v>
      </c>
      <c r="AB13" s="5">
        <v>609591.0</v>
      </c>
    </row>
    <row r="14">
      <c r="A14" s="3" t="s">
        <v>40</v>
      </c>
      <c r="B14" s="3" t="str">
        <f>VLOOKUP(A14,'Примечания'!$A:$B,2,0)</f>
        <v>ПФО</v>
      </c>
      <c r="C14" s="4">
        <f t="shared" ref="C14:D14" si="13">E14+G14+I14+K14+M14+O14+Q14+S14+U14+W14+Y14+AA14</f>
        <v>446933</v>
      </c>
      <c r="D14" s="4">
        <f t="shared" si="13"/>
        <v>7255010</v>
      </c>
      <c r="E14" s="5">
        <v>27770.0</v>
      </c>
      <c r="F14" s="5">
        <v>599759.0</v>
      </c>
      <c r="G14" s="5">
        <v>28862.0</v>
      </c>
      <c r="H14" s="5">
        <v>597184.0</v>
      </c>
      <c r="I14" s="5">
        <v>32575.0</v>
      </c>
      <c r="J14" s="5">
        <v>595586.0</v>
      </c>
      <c r="K14" s="5">
        <v>33064.0</v>
      </c>
      <c r="L14" s="5">
        <v>596169.0</v>
      </c>
      <c r="M14" s="5">
        <v>33324.0</v>
      </c>
      <c r="N14" s="5">
        <v>597540.0</v>
      </c>
      <c r="O14" s="5">
        <v>35480.0</v>
      </c>
      <c r="P14" s="5">
        <v>597901.0</v>
      </c>
      <c r="Q14" s="5">
        <v>37637.0</v>
      </c>
      <c r="R14" s="5">
        <v>597218.0</v>
      </c>
      <c r="S14" s="5">
        <v>40994.0</v>
      </c>
      <c r="T14" s="5">
        <v>603803.0</v>
      </c>
      <c r="U14" s="5">
        <v>40073.0</v>
      </c>
      <c r="V14" s="5">
        <v>608670.0</v>
      </c>
      <c r="W14" s="5">
        <v>44411.0</v>
      </c>
      <c r="X14" s="5">
        <v>615981.0</v>
      </c>
      <c r="Y14" s="5">
        <v>43144.0</v>
      </c>
      <c r="Z14" s="5">
        <v>621002.0</v>
      </c>
      <c r="AA14" s="5">
        <v>49599.0</v>
      </c>
      <c r="AB14" s="5">
        <v>624197.0</v>
      </c>
    </row>
    <row r="15">
      <c r="A15" s="3" t="s">
        <v>41</v>
      </c>
      <c r="B15" s="3" t="str">
        <f>VLOOKUP(A15,'Примечания'!$A:$B,2,0)</f>
        <v>СФО</v>
      </c>
      <c r="C15" s="4">
        <f t="shared" ref="C15:D15" si="14">E15+G15+I15+K15+M15+O15+Q15+S15+U15+W15+Y15+AA15</f>
        <v>443731</v>
      </c>
      <c r="D15" s="4">
        <f t="shared" si="14"/>
        <v>8544450</v>
      </c>
      <c r="E15" s="5">
        <v>27193.0</v>
      </c>
      <c r="F15" s="5">
        <v>715123.0</v>
      </c>
      <c r="G15" s="5">
        <v>28415.0</v>
      </c>
      <c r="H15" s="5">
        <v>710924.0</v>
      </c>
      <c r="I15" s="5">
        <v>32732.0</v>
      </c>
      <c r="J15" s="5">
        <v>708909.0</v>
      </c>
      <c r="K15" s="5">
        <v>33816.0</v>
      </c>
      <c r="L15" s="5">
        <v>708873.0</v>
      </c>
      <c r="M15" s="5">
        <v>35261.0</v>
      </c>
      <c r="N15" s="5">
        <v>710834.0</v>
      </c>
      <c r="O15" s="5">
        <v>36222.0</v>
      </c>
      <c r="P15" s="5">
        <v>709967.0</v>
      </c>
      <c r="Q15" s="5">
        <v>38588.0</v>
      </c>
      <c r="R15" s="5">
        <v>706662.0</v>
      </c>
      <c r="S15" s="5">
        <v>40241.0</v>
      </c>
      <c r="T15" s="5">
        <v>711004.0</v>
      </c>
      <c r="U15" s="5">
        <v>39261.0</v>
      </c>
      <c r="V15" s="5">
        <v>713317.0</v>
      </c>
      <c r="W15" s="5">
        <v>42699.0</v>
      </c>
      <c r="X15" s="5">
        <v>716951.0</v>
      </c>
      <c r="Y15" s="5">
        <v>40860.0</v>
      </c>
      <c r="Z15" s="5">
        <v>716970.0</v>
      </c>
      <c r="AA15" s="5">
        <v>48443.0</v>
      </c>
      <c r="AB15" s="5">
        <v>714916.0</v>
      </c>
    </row>
    <row r="16">
      <c r="A16" s="3" t="s">
        <v>42</v>
      </c>
      <c r="B16" s="3" t="str">
        <f>VLOOKUP(A16,'Примечания'!$A:$B,2,0)</f>
        <v>ПФО</v>
      </c>
      <c r="C16" s="4">
        <f t="shared" ref="C16:D16" si="15">E16+G16+I16+K16+M16+O16+Q16+S16+U16+W16+Y16+AA16</f>
        <v>416245</v>
      </c>
      <c r="D16" s="4">
        <f t="shared" si="15"/>
        <v>7240512</v>
      </c>
      <c r="E16" s="5">
        <v>24502.0</v>
      </c>
      <c r="F16" s="5">
        <v>594223.0</v>
      </c>
      <c r="G16" s="5">
        <v>26188.0</v>
      </c>
      <c r="H16" s="5">
        <v>591998.0</v>
      </c>
      <c r="I16" s="5">
        <v>30033.0</v>
      </c>
      <c r="J16" s="5">
        <v>591962.0</v>
      </c>
      <c r="K16" s="5">
        <v>30370.0</v>
      </c>
      <c r="L16" s="5">
        <v>592895.0</v>
      </c>
      <c r="M16" s="5">
        <v>31920.0</v>
      </c>
      <c r="N16" s="5">
        <v>595707.0</v>
      </c>
      <c r="O16" s="5">
        <v>32719.0</v>
      </c>
      <c r="P16" s="5">
        <v>596408.0</v>
      </c>
      <c r="Q16" s="5">
        <v>36219.0</v>
      </c>
      <c r="R16" s="5">
        <v>597022.0</v>
      </c>
      <c r="S16" s="5">
        <v>38811.0</v>
      </c>
      <c r="T16" s="5">
        <v>604527.0</v>
      </c>
      <c r="U16" s="5">
        <v>37037.0</v>
      </c>
      <c r="V16" s="5">
        <v>609587.0</v>
      </c>
      <c r="W16" s="5">
        <v>41515.0</v>
      </c>
      <c r="X16" s="5">
        <v>617304.0</v>
      </c>
      <c r="Y16" s="5">
        <v>39598.0</v>
      </c>
      <c r="Z16" s="5">
        <v>621995.0</v>
      </c>
      <c r="AA16" s="5">
        <v>47333.0</v>
      </c>
      <c r="AB16" s="5">
        <v>626884.0</v>
      </c>
    </row>
    <row r="17">
      <c r="A17" s="3" t="s">
        <v>43</v>
      </c>
      <c r="B17" s="3" t="str">
        <f>VLOOKUP(A17,'Примечания'!$A:$B,2,0)</f>
        <v>СФО</v>
      </c>
      <c r="C17" s="4">
        <f t="shared" ref="C17:D17" si="16">E17+G17+I17+K17+M17+O17+Q17+S17+U17+W17+Y17+AA17</f>
        <v>362780</v>
      </c>
      <c r="D17" s="4">
        <f t="shared" si="16"/>
        <v>6836268</v>
      </c>
      <c r="E17" s="5">
        <v>22358.0</v>
      </c>
      <c r="F17" s="5">
        <v>574368.0</v>
      </c>
      <c r="G17" s="5">
        <v>23234.0</v>
      </c>
      <c r="H17" s="5">
        <v>570715.0</v>
      </c>
      <c r="I17" s="5">
        <v>26554.0</v>
      </c>
      <c r="J17" s="5">
        <v>568791.0</v>
      </c>
      <c r="K17" s="5">
        <v>26933.0</v>
      </c>
      <c r="L17" s="5">
        <v>567172.0</v>
      </c>
      <c r="M17" s="5">
        <v>28469.0</v>
      </c>
      <c r="N17" s="5">
        <v>568174.0</v>
      </c>
      <c r="O17" s="5">
        <v>29131.0</v>
      </c>
      <c r="P17" s="5">
        <v>566539.0</v>
      </c>
      <c r="Q17" s="5">
        <v>32180.0</v>
      </c>
      <c r="R17" s="5">
        <v>564349.0</v>
      </c>
      <c r="S17" s="5">
        <v>34164.0</v>
      </c>
      <c r="T17" s="5">
        <v>568813.0</v>
      </c>
      <c r="U17" s="5">
        <v>32192.0</v>
      </c>
      <c r="V17" s="5">
        <v>569962.0</v>
      </c>
      <c r="W17" s="5">
        <v>34966.0</v>
      </c>
      <c r="X17" s="5">
        <v>572607.0</v>
      </c>
      <c r="Y17" s="5">
        <v>33267.0</v>
      </c>
      <c r="Z17" s="5">
        <v>572284.0</v>
      </c>
      <c r="AA17" s="5">
        <v>39332.0</v>
      </c>
      <c r="AB17" s="5">
        <v>572494.0</v>
      </c>
    </row>
    <row r="18">
      <c r="A18" s="3" t="s">
        <v>44</v>
      </c>
      <c r="B18" s="3" t="str">
        <f>VLOOKUP(A18,'Примечания'!$A:$B,2,0)</f>
        <v>УФО</v>
      </c>
      <c r="C18" s="4">
        <f t="shared" ref="C18:D18" si="17">E18+G18+I18+K18+M18+O18+Q18+S18+U18+W18+Y18+AA18</f>
        <v>356633</v>
      </c>
      <c r="D18" s="4">
        <f t="shared" si="17"/>
        <v>7974792</v>
      </c>
      <c r="E18" s="5">
        <v>20361.0</v>
      </c>
      <c r="F18" s="5">
        <v>662411.0</v>
      </c>
      <c r="G18" s="5">
        <v>22174.0</v>
      </c>
      <c r="H18" s="5">
        <v>659993.0</v>
      </c>
      <c r="I18" s="5">
        <v>25675.0</v>
      </c>
      <c r="J18" s="5">
        <v>659243.0</v>
      </c>
      <c r="K18" s="5">
        <v>29672.0</v>
      </c>
      <c r="L18" s="5">
        <v>659026.0</v>
      </c>
      <c r="M18" s="5">
        <v>27697.0</v>
      </c>
      <c r="N18" s="5">
        <v>661426.0</v>
      </c>
      <c r="O18" s="5">
        <v>28414.0</v>
      </c>
      <c r="P18" s="5">
        <v>660483.0</v>
      </c>
      <c r="Q18" s="5">
        <v>31095.0</v>
      </c>
      <c r="R18" s="5">
        <v>657380.0</v>
      </c>
      <c r="S18" s="5">
        <v>33469.0</v>
      </c>
      <c r="T18" s="5">
        <v>663885.0</v>
      </c>
      <c r="U18" s="5">
        <v>31641.0</v>
      </c>
      <c r="V18" s="5">
        <v>666769.0</v>
      </c>
      <c r="W18" s="5">
        <v>34572.0</v>
      </c>
      <c r="X18" s="5">
        <v>672142.0</v>
      </c>
      <c r="Y18" s="5">
        <v>33220.0</v>
      </c>
      <c r="Z18" s="5">
        <v>674808.0</v>
      </c>
      <c r="AA18" s="5">
        <v>38643.0</v>
      </c>
      <c r="AB18" s="5">
        <v>677226.0</v>
      </c>
    </row>
    <row r="19">
      <c r="A19" s="3" t="s">
        <v>45</v>
      </c>
      <c r="B19" s="3" t="str">
        <f>VLOOKUP(A19,'Примечания'!$A:$B,2,0)</f>
        <v>СЗФО</v>
      </c>
      <c r="C19" s="4">
        <f t="shared" ref="C19:D19" si="18">E19+G19+I19+K19+M19+O19+Q19+S19+U19+W19+Y19+AA19</f>
        <v>354290</v>
      </c>
      <c r="D19" s="4">
        <f t="shared" si="18"/>
        <v>7013300</v>
      </c>
      <c r="E19" s="5">
        <v>20740.0</v>
      </c>
      <c r="F19" s="5">
        <v>576362.0</v>
      </c>
      <c r="G19" s="5">
        <v>22610.0</v>
      </c>
      <c r="H19" s="5">
        <v>574586.0</v>
      </c>
      <c r="I19" s="5">
        <v>26212.0</v>
      </c>
      <c r="J19" s="5">
        <v>574933.0</v>
      </c>
      <c r="K19" s="5">
        <v>26150.0</v>
      </c>
      <c r="L19" s="5">
        <v>575776.0</v>
      </c>
      <c r="M19" s="5">
        <v>26794.0</v>
      </c>
      <c r="N19" s="5">
        <v>577503.0</v>
      </c>
      <c r="O19" s="5">
        <v>27967.0</v>
      </c>
      <c r="P19" s="5">
        <v>579519.0</v>
      </c>
      <c r="Q19" s="5">
        <v>29841.0</v>
      </c>
      <c r="R19" s="5">
        <v>579249.0</v>
      </c>
      <c r="S19" s="5">
        <v>32674.0</v>
      </c>
      <c r="T19" s="5">
        <v>584584.0</v>
      </c>
      <c r="U19" s="5">
        <v>32344.0</v>
      </c>
      <c r="V19" s="5">
        <v>589765.0</v>
      </c>
      <c r="W19" s="5">
        <v>34654.0</v>
      </c>
      <c r="X19" s="5">
        <v>596148.0</v>
      </c>
      <c r="Y19" s="5">
        <v>34143.0</v>
      </c>
      <c r="Z19" s="5">
        <v>600316.0</v>
      </c>
      <c r="AA19" s="5">
        <v>40161.0</v>
      </c>
      <c r="AB19" s="5">
        <v>604559.0</v>
      </c>
    </row>
    <row r="20">
      <c r="A20" s="3" t="s">
        <v>46</v>
      </c>
      <c r="B20" s="3" t="str">
        <f>VLOOKUP(A20,'Примечания'!$A:$B,2,0)</f>
        <v>УФО</v>
      </c>
      <c r="C20" s="4">
        <f t="shared" ref="C20:D20" si="19">E20+G20+I20+K20+M20+O20+Q20+S20+U20+W20+Y20+AA20</f>
        <v>345490</v>
      </c>
      <c r="D20" s="4">
        <f t="shared" si="19"/>
        <v>6590966</v>
      </c>
      <c r="E20" s="5">
        <v>20169.0</v>
      </c>
      <c r="F20" s="5">
        <v>537927.0</v>
      </c>
      <c r="G20" s="5">
        <v>21849.0</v>
      </c>
      <c r="H20" s="5">
        <v>536782.0</v>
      </c>
      <c r="I20" s="5">
        <v>25165.0</v>
      </c>
      <c r="J20" s="5">
        <v>537361.0</v>
      </c>
      <c r="K20" s="5">
        <v>25049.0</v>
      </c>
      <c r="L20" s="5">
        <v>538630.0</v>
      </c>
      <c r="M20" s="5">
        <v>26318.0</v>
      </c>
      <c r="N20" s="5">
        <v>540909.0</v>
      </c>
      <c r="O20" s="5">
        <v>27019.0</v>
      </c>
      <c r="P20" s="5">
        <v>543024.0</v>
      </c>
      <c r="Q20" s="5">
        <v>30697.0</v>
      </c>
      <c r="R20" s="5">
        <v>545374.0</v>
      </c>
      <c r="S20" s="5">
        <v>32601.0</v>
      </c>
      <c r="T20" s="5">
        <v>552660.0</v>
      </c>
      <c r="U20" s="5">
        <v>30646.0</v>
      </c>
      <c r="V20" s="5">
        <v>556531.0</v>
      </c>
      <c r="W20" s="5">
        <v>33955.0</v>
      </c>
      <c r="X20" s="5">
        <v>563007.0</v>
      </c>
      <c r="Y20" s="5">
        <v>33435.0</v>
      </c>
      <c r="Z20" s="5">
        <v>568450.0</v>
      </c>
      <c r="AA20" s="5">
        <v>38587.0</v>
      </c>
      <c r="AB20" s="5">
        <v>570311.0</v>
      </c>
    </row>
    <row r="21">
      <c r="A21" s="3" t="s">
        <v>47</v>
      </c>
      <c r="B21" s="3" t="str">
        <f>VLOOKUP(A21,'Примечания'!$A:$B,2,0)</f>
        <v>СФО</v>
      </c>
      <c r="C21" s="4">
        <f t="shared" ref="C21:D21" si="20">E21+G21+I21+K21+M21+O21+Q21+S21+U21+W21+Y21+AA21</f>
        <v>342277</v>
      </c>
      <c r="D21" s="4">
        <f t="shared" si="20"/>
        <v>6066116</v>
      </c>
      <c r="E21" s="5">
        <v>21444.0</v>
      </c>
      <c r="F21" s="5">
        <v>510640.0</v>
      </c>
      <c r="G21" s="5">
        <v>22496.0</v>
      </c>
      <c r="H21" s="5">
        <v>506877.0</v>
      </c>
      <c r="I21" s="5">
        <v>25890.0</v>
      </c>
      <c r="J21" s="5">
        <v>505031.0</v>
      </c>
      <c r="K21" s="5">
        <v>26335.0</v>
      </c>
      <c r="L21" s="5">
        <v>504526.0</v>
      </c>
      <c r="M21" s="5">
        <v>26803.0</v>
      </c>
      <c r="N21" s="5">
        <v>505266.0</v>
      </c>
      <c r="O21" s="5">
        <v>27650.0</v>
      </c>
      <c r="P21" s="5">
        <v>502816.0</v>
      </c>
      <c r="Q21" s="5">
        <v>29728.0</v>
      </c>
      <c r="R21" s="5">
        <v>500250.0</v>
      </c>
      <c r="S21" s="5">
        <v>32169.0</v>
      </c>
      <c r="T21" s="5">
        <v>504182.0</v>
      </c>
      <c r="U21" s="5">
        <v>30578.0</v>
      </c>
      <c r="V21" s="5">
        <v>505209.0</v>
      </c>
      <c r="W21" s="5">
        <v>32651.0</v>
      </c>
      <c r="X21" s="5">
        <v>507475.0</v>
      </c>
      <c r="Y21" s="5">
        <v>31298.0</v>
      </c>
      <c r="Z21" s="5">
        <v>507144.0</v>
      </c>
      <c r="AA21" s="5">
        <v>35235.0</v>
      </c>
      <c r="AB21" s="5">
        <v>506700.0</v>
      </c>
    </row>
    <row r="22">
      <c r="A22" s="3" t="s">
        <v>48</v>
      </c>
      <c r="B22" s="3" t="str">
        <f>VLOOKUP(A22,'Примечания'!$A:$B,2,0)</f>
        <v>СКФО</v>
      </c>
      <c r="C22" s="4">
        <f t="shared" ref="C22:D22" si="21">E22+G22+I22+K22+M22+O22+Q22+S22+U22+W22+Y22+AA22</f>
        <v>327387</v>
      </c>
      <c r="D22" s="4">
        <f t="shared" si="21"/>
        <v>6214732</v>
      </c>
      <c r="E22" s="5">
        <v>19670.0</v>
      </c>
      <c r="F22" s="5">
        <v>514535.0</v>
      </c>
      <c r="G22" s="5">
        <v>20505.0</v>
      </c>
      <c r="H22" s="5">
        <v>512217.0</v>
      </c>
      <c r="I22" s="5">
        <v>23578.0</v>
      </c>
      <c r="J22" s="5">
        <v>511607.0</v>
      </c>
      <c r="K22" s="5">
        <v>23725.0</v>
      </c>
      <c r="L22" s="5">
        <v>511513.0</v>
      </c>
      <c r="M22" s="5">
        <v>24547.0</v>
      </c>
      <c r="N22" s="5">
        <v>513132.0</v>
      </c>
      <c r="O22" s="5">
        <v>25729.0</v>
      </c>
      <c r="P22" s="5">
        <v>513563.0</v>
      </c>
      <c r="Q22" s="5">
        <v>28084.0</v>
      </c>
      <c r="R22" s="5">
        <v>512576.0</v>
      </c>
      <c r="S22" s="5">
        <v>29682.0</v>
      </c>
      <c r="T22" s="5">
        <v>516699.0</v>
      </c>
      <c r="U22" s="5">
        <v>29281.0</v>
      </c>
      <c r="V22" s="5">
        <v>520028.0</v>
      </c>
      <c r="W22" s="5">
        <v>31890.0</v>
      </c>
      <c r="X22" s="5">
        <v>524962.0</v>
      </c>
      <c r="Y22" s="5">
        <v>32057.0</v>
      </c>
      <c r="Z22" s="5">
        <v>529520.0</v>
      </c>
      <c r="AA22" s="5">
        <v>38639.0</v>
      </c>
      <c r="AB22" s="5">
        <v>534380.0</v>
      </c>
    </row>
    <row r="23">
      <c r="A23" s="3" t="s">
        <v>49</v>
      </c>
      <c r="B23" s="3" t="str">
        <f>VLOOKUP(A23,'Примечания'!$A:$B,2,0)</f>
        <v>ЦФО</v>
      </c>
      <c r="C23" s="4">
        <f t="shared" ref="C23:D23" si="22">E23+G23+I23+K23+M23+O23+Q23+S23+U23+W23+Y23+AA23</f>
        <v>300907</v>
      </c>
      <c r="D23" s="4">
        <f t="shared" si="22"/>
        <v>5273758</v>
      </c>
      <c r="E23" s="5">
        <v>18334.0</v>
      </c>
      <c r="F23" s="5">
        <v>435868.0</v>
      </c>
      <c r="G23" s="5">
        <v>19495.0</v>
      </c>
      <c r="H23" s="5">
        <v>434156.0</v>
      </c>
      <c r="I23" s="5">
        <v>22411.0</v>
      </c>
      <c r="J23" s="5">
        <v>433943.0</v>
      </c>
      <c r="K23" s="5">
        <v>22134.0</v>
      </c>
      <c r="L23" s="5">
        <v>434160.0</v>
      </c>
      <c r="M23" s="5">
        <v>22773.0</v>
      </c>
      <c r="N23" s="5">
        <v>435280.0</v>
      </c>
      <c r="O23" s="5">
        <v>23821.0</v>
      </c>
      <c r="P23" s="5">
        <v>435973.0</v>
      </c>
      <c r="Q23" s="5">
        <v>26003.0</v>
      </c>
      <c r="R23" s="5">
        <v>435466.0</v>
      </c>
      <c r="S23" s="5">
        <v>26770.0</v>
      </c>
      <c r="T23" s="5">
        <v>439296.0</v>
      </c>
      <c r="U23" s="5">
        <v>26440.0</v>
      </c>
      <c r="V23" s="5">
        <v>442136.0</v>
      </c>
      <c r="W23" s="5">
        <v>28954.0</v>
      </c>
      <c r="X23" s="5">
        <v>445865.0</v>
      </c>
      <c r="Y23" s="5">
        <v>28881.0</v>
      </c>
      <c r="Z23" s="5">
        <v>448885.0</v>
      </c>
      <c r="AA23" s="5">
        <v>34891.0</v>
      </c>
      <c r="AB23" s="5">
        <v>452730.0</v>
      </c>
    </row>
    <row r="24">
      <c r="A24" s="3" t="s">
        <v>50</v>
      </c>
      <c r="B24" s="3" t="str">
        <f>VLOOKUP(A24,'Примечания'!$A:$B,2,0)</f>
        <v>ДФО</v>
      </c>
      <c r="C24" s="4">
        <f t="shared" ref="C24:D24" si="23">E24+G24+I24+K24+M24+O24+Q24+S24+U24+W24+Y24+AA24</f>
        <v>300331</v>
      </c>
      <c r="D24" s="4">
        <f t="shared" si="23"/>
        <v>6486716</v>
      </c>
      <c r="E24" s="5">
        <v>18190.0</v>
      </c>
      <c r="F24" s="5">
        <v>533615.0</v>
      </c>
      <c r="G24" s="5">
        <v>20380.0</v>
      </c>
      <c r="H24" s="5">
        <v>533603.0</v>
      </c>
      <c r="I24" s="5">
        <v>23040.0</v>
      </c>
      <c r="J24" s="5">
        <v>534945.0</v>
      </c>
      <c r="K24" s="5">
        <v>22686.0</v>
      </c>
      <c r="L24" s="5">
        <v>536032.0</v>
      </c>
      <c r="M24" s="5">
        <v>23395.0</v>
      </c>
      <c r="N24" s="5">
        <v>538591.0</v>
      </c>
      <c r="O24" s="5">
        <v>24642.0</v>
      </c>
      <c r="P24" s="5">
        <v>539623.0</v>
      </c>
      <c r="Q24" s="5">
        <v>26101.0</v>
      </c>
      <c r="R24" s="5">
        <v>536354.0</v>
      </c>
      <c r="S24" s="5">
        <v>26523.0</v>
      </c>
      <c r="T24" s="5">
        <v>540290.0</v>
      </c>
      <c r="U24" s="5">
        <v>26784.0</v>
      </c>
      <c r="V24" s="5">
        <v>543910.0</v>
      </c>
      <c r="W24" s="5">
        <v>28077.0</v>
      </c>
      <c r="X24" s="5">
        <v>547970.0</v>
      </c>
      <c r="Y24" s="5">
        <v>28054.0</v>
      </c>
      <c r="Z24" s="5">
        <v>550836.0</v>
      </c>
      <c r="AA24" s="5">
        <v>32459.0</v>
      </c>
      <c r="AB24" s="5">
        <v>550947.0</v>
      </c>
    </row>
    <row r="25">
      <c r="A25" s="3" t="s">
        <v>51</v>
      </c>
      <c r="B25" s="3" t="str">
        <f>VLOOKUP(A25,'Примечания'!$A:$B,2,0)</f>
        <v>ЮФО</v>
      </c>
      <c r="C25" s="4">
        <f t="shared" ref="C25:D25" si="24">E25+G25+I25+K25+M25+O25+Q25+S25+U25+W25+Y25+AA25</f>
        <v>287681</v>
      </c>
      <c r="D25" s="4">
        <f t="shared" si="24"/>
        <v>4842355</v>
      </c>
      <c r="E25" s="5">
        <v>18222.0</v>
      </c>
      <c r="F25" s="5">
        <v>402604.0</v>
      </c>
      <c r="G25" s="5">
        <v>18785.0</v>
      </c>
      <c r="H25" s="5">
        <v>400593.0</v>
      </c>
      <c r="I25" s="5">
        <v>21741.0</v>
      </c>
      <c r="J25" s="5">
        <v>400374.0</v>
      </c>
      <c r="K25" s="5">
        <v>21812.0</v>
      </c>
      <c r="L25" s="5">
        <v>400550.0</v>
      </c>
      <c r="M25" s="5">
        <v>22462.0</v>
      </c>
      <c r="N25" s="5">
        <v>402226.0</v>
      </c>
      <c r="O25" s="5">
        <v>22495.0</v>
      </c>
      <c r="P25" s="5">
        <v>401381.0</v>
      </c>
      <c r="Q25" s="5">
        <v>24725.0</v>
      </c>
      <c r="R25" s="5">
        <v>399447.0</v>
      </c>
      <c r="S25" s="5">
        <v>26091.0</v>
      </c>
      <c r="T25" s="5">
        <v>403051.0</v>
      </c>
      <c r="U25" s="5">
        <v>25196.0</v>
      </c>
      <c r="V25" s="5">
        <v>404247.0</v>
      </c>
      <c r="W25" s="5">
        <v>27763.0</v>
      </c>
      <c r="X25" s="5">
        <v>407544.0</v>
      </c>
      <c r="Y25" s="5">
        <v>26967.0</v>
      </c>
      <c r="Z25" s="5">
        <v>409663.0</v>
      </c>
      <c r="AA25" s="5">
        <v>31422.0</v>
      </c>
      <c r="AB25" s="5">
        <v>410675.0</v>
      </c>
    </row>
    <row r="26">
      <c r="A26" s="3" t="s">
        <v>52</v>
      </c>
      <c r="B26" s="3" t="str">
        <f>VLOOKUP(A26,'Примечания'!$A:$B,2,0)</f>
        <v>ПФО</v>
      </c>
      <c r="C26" s="4">
        <f t="shared" ref="C26:D26" si="25">E26+G26+I26+K26+M26+O26+Q26+S26+U26+W26+Y26+AA26</f>
        <v>283621</v>
      </c>
      <c r="D26" s="4">
        <f t="shared" si="25"/>
        <v>4613230</v>
      </c>
      <c r="E26" s="5">
        <v>17186.0</v>
      </c>
      <c r="F26" s="5">
        <v>387147.0</v>
      </c>
      <c r="G26" s="5">
        <v>18159.0</v>
      </c>
      <c r="H26" s="5">
        <v>385045.0</v>
      </c>
      <c r="I26" s="5">
        <v>20990.0</v>
      </c>
      <c r="J26" s="5">
        <v>383981.0</v>
      </c>
      <c r="K26" s="5">
        <v>20742.0</v>
      </c>
      <c r="L26" s="5">
        <v>383184.0</v>
      </c>
      <c r="M26" s="5">
        <v>23159.0</v>
      </c>
      <c r="N26" s="5">
        <v>384296.0</v>
      </c>
      <c r="O26" s="5">
        <v>23241.0</v>
      </c>
      <c r="P26" s="5">
        <v>382774.0</v>
      </c>
      <c r="Q26" s="5">
        <v>24825.0</v>
      </c>
      <c r="R26" s="5">
        <v>379950.0</v>
      </c>
      <c r="S26" s="5">
        <v>25526.0</v>
      </c>
      <c r="T26" s="5">
        <v>382711.0</v>
      </c>
      <c r="U26" s="5">
        <v>25250.0</v>
      </c>
      <c r="V26" s="5">
        <v>384038.0</v>
      </c>
      <c r="W26" s="5">
        <v>26700.0</v>
      </c>
      <c r="X26" s="5">
        <v>385781.0</v>
      </c>
      <c r="Y26" s="5">
        <v>26347.0</v>
      </c>
      <c r="Z26" s="5">
        <v>386633.0</v>
      </c>
      <c r="AA26" s="5">
        <v>31496.0</v>
      </c>
      <c r="AB26" s="5">
        <v>387690.0</v>
      </c>
    </row>
    <row r="27">
      <c r="A27" s="3" t="s">
        <v>53</v>
      </c>
      <c r="B27" s="3" t="str">
        <f>VLOOKUP(A27,'Примечания'!$A:$B,2,0)</f>
        <v>ПФО</v>
      </c>
      <c r="C27" s="4">
        <f t="shared" ref="C27:D27" si="26">E27+G27+I27+K27+M27+O27+Q27+S27+U27+W27+Y27+AA27</f>
        <v>276528</v>
      </c>
      <c r="D27" s="4">
        <f t="shared" si="26"/>
        <v>4962852</v>
      </c>
      <c r="E27" s="5">
        <v>15939.0</v>
      </c>
      <c r="F27" s="5">
        <v>410724.0</v>
      </c>
      <c r="G27" s="5">
        <v>16889.0</v>
      </c>
      <c r="H27" s="5">
        <v>408773.0</v>
      </c>
      <c r="I27" s="5">
        <v>19538.0</v>
      </c>
      <c r="J27" s="5">
        <v>407872.0</v>
      </c>
      <c r="K27" s="5">
        <v>20492.0</v>
      </c>
      <c r="L27" s="5">
        <v>408541.0</v>
      </c>
      <c r="M27" s="5">
        <v>22920.0</v>
      </c>
      <c r="N27" s="5">
        <v>410230.0</v>
      </c>
      <c r="O27" s="5">
        <v>23061.0</v>
      </c>
      <c r="P27" s="5">
        <v>409986.0</v>
      </c>
      <c r="Q27" s="5">
        <v>24671.0</v>
      </c>
      <c r="R27" s="5">
        <v>408638.0</v>
      </c>
      <c r="S27" s="5">
        <v>25447.0</v>
      </c>
      <c r="T27" s="5">
        <v>413334.0</v>
      </c>
      <c r="U27" s="5">
        <v>24437.0</v>
      </c>
      <c r="V27" s="5">
        <v>416060.0</v>
      </c>
      <c r="W27" s="5">
        <v>26591.0</v>
      </c>
      <c r="X27" s="5">
        <v>420018.0</v>
      </c>
      <c r="Y27" s="5">
        <v>25570.0</v>
      </c>
      <c r="Z27" s="5">
        <v>422906.0</v>
      </c>
      <c r="AA27" s="5">
        <v>30973.0</v>
      </c>
      <c r="AB27" s="5">
        <v>425770.0</v>
      </c>
    </row>
    <row r="28">
      <c r="A28" s="3" t="s">
        <v>54</v>
      </c>
      <c r="B28" s="3" t="str">
        <f>VLOOKUP(A28,'Примечания'!$A:$B,2,0)</f>
        <v>СФО</v>
      </c>
      <c r="C28" s="4">
        <f t="shared" ref="C28:D28" si="27">E28+G28+I28+K28+M28+O28+Q28+S28+U28+W28+Y28+AA28</f>
        <v>266068</v>
      </c>
      <c r="D28" s="4">
        <f t="shared" si="27"/>
        <v>4808783</v>
      </c>
      <c r="E28" s="5">
        <v>16360.0</v>
      </c>
      <c r="F28" s="5">
        <v>402227.0</v>
      </c>
      <c r="G28" s="5">
        <v>17266.0</v>
      </c>
      <c r="H28" s="5">
        <v>399942.0</v>
      </c>
      <c r="I28" s="5">
        <v>19778.0</v>
      </c>
      <c r="J28" s="5">
        <v>398838.0</v>
      </c>
      <c r="K28" s="5">
        <v>19963.0</v>
      </c>
      <c r="L28" s="5">
        <v>398440.0</v>
      </c>
      <c r="M28" s="5">
        <v>20605.0</v>
      </c>
      <c r="N28" s="5">
        <v>399457.0</v>
      </c>
      <c r="O28" s="5">
        <v>21153.0</v>
      </c>
      <c r="P28" s="5">
        <v>397674.0</v>
      </c>
      <c r="Q28" s="5">
        <v>23697.0</v>
      </c>
      <c r="R28" s="5">
        <v>397111.0</v>
      </c>
      <c r="S28" s="5">
        <v>24814.0</v>
      </c>
      <c r="T28" s="5">
        <v>400724.0</v>
      </c>
      <c r="U28" s="5">
        <v>23356.0</v>
      </c>
      <c r="V28" s="5">
        <v>401674.0</v>
      </c>
      <c r="W28" s="5">
        <v>25340.0</v>
      </c>
      <c r="X28" s="5">
        <v>403720.0</v>
      </c>
      <c r="Y28" s="5">
        <v>24719.0</v>
      </c>
      <c r="Z28" s="5">
        <v>404325.0</v>
      </c>
      <c r="AA28" s="5">
        <v>29017.0</v>
      </c>
      <c r="AB28" s="5">
        <v>404651.0</v>
      </c>
    </row>
    <row r="29">
      <c r="A29" s="3" t="s">
        <v>55</v>
      </c>
      <c r="B29" s="3" t="str">
        <f>VLOOKUP(A29,'Примечания'!$A:$B,2,0)</f>
        <v>СФО</v>
      </c>
      <c r="C29" s="4">
        <f t="shared" ref="C29:D29" si="28">E29+G29+I29+K29+M29+O29+Q29+S29+U29+W29+Y29+AA29</f>
        <v>263946</v>
      </c>
      <c r="D29" s="4">
        <f t="shared" si="28"/>
        <v>4534205</v>
      </c>
      <c r="E29" s="5">
        <v>16562.0</v>
      </c>
      <c r="F29" s="5">
        <v>378209.0</v>
      </c>
      <c r="G29" s="5">
        <v>17581.0</v>
      </c>
      <c r="H29" s="5">
        <v>376701.0</v>
      </c>
      <c r="I29" s="5">
        <v>20284.0</v>
      </c>
      <c r="J29" s="5">
        <v>376387.0</v>
      </c>
      <c r="K29" s="5">
        <v>19767.0</v>
      </c>
      <c r="L29" s="5">
        <v>376185.0</v>
      </c>
      <c r="M29" s="5">
        <v>20362.0</v>
      </c>
      <c r="N29" s="5">
        <v>377199.0</v>
      </c>
      <c r="O29" s="5">
        <v>20760.0</v>
      </c>
      <c r="P29" s="5">
        <v>375440.0</v>
      </c>
      <c r="Q29" s="5">
        <v>22541.0</v>
      </c>
      <c r="R29" s="5">
        <v>373944.0</v>
      </c>
      <c r="S29" s="5">
        <v>23681.0</v>
      </c>
      <c r="T29" s="5">
        <v>376970.0</v>
      </c>
      <c r="U29" s="5">
        <v>23105.0</v>
      </c>
      <c r="V29" s="5">
        <v>378238.0</v>
      </c>
      <c r="W29" s="5">
        <v>25249.0</v>
      </c>
      <c r="X29" s="5">
        <v>380312.0</v>
      </c>
      <c r="Y29" s="5">
        <v>24775.0</v>
      </c>
      <c r="Z29" s="5">
        <v>381385.0</v>
      </c>
      <c r="AA29" s="5">
        <v>29279.0</v>
      </c>
      <c r="AB29" s="5">
        <v>383235.0</v>
      </c>
    </row>
    <row r="30">
      <c r="A30" s="3" t="s">
        <v>56</v>
      </c>
      <c r="B30" s="3" t="str">
        <f>VLOOKUP(A30,'Примечания'!$A:$B,2,0)</f>
        <v>ПФО</v>
      </c>
      <c r="C30" s="4">
        <f t="shared" ref="C30:D30" si="29">E30+G30+I30+K30+M30+O30+Q30+S30+U30+W30+Y30+AA30</f>
        <v>240929</v>
      </c>
      <c r="D30" s="4">
        <f t="shared" si="29"/>
        <v>4858404</v>
      </c>
      <c r="E30" s="5">
        <v>13264.0</v>
      </c>
      <c r="F30" s="5">
        <v>394257.0</v>
      </c>
      <c r="G30" s="5">
        <v>14567.0</v>
      </c>
      <c r="H30" s="5">
        <v>393365.0</v>
      </c>
      <c r="I30" s="5">
        <v>17300.0</v>
      </c>
      <c r="J30" s="5">
        <v>394213.0</v>
      </c>
      <c r="K30" s="5">
        <v>17356.0</v>
      </c>
      <c r="L30" s="5">
        <v>395794.0</v>
      </c>
      <c r="M30" s="5">
        <v>17859.0</v>
      </c>
      <c r="N30" s="5">
        <v>398010.0</v>
      </c>
      <c r="O30" s="5">
        <v>18776.0</v>
      </c>
      <c r="P30" s="5">
        <v>400280.0</v>
      </c>
      <c r="Q30" s="5">
        <v>20186.0</v>
      </c>
      <c r="R30" s="5">
        <v>401006.0</v>
      </c>
      <c r="S30" s="5">
        <v>22343.0</v>
      </c>
      <c r="T30" s="5">
        <v>406343.0</v>
      </c>
      <c r="U30" s="5">
        <v>21713.0</v>
      </c>
      <c r="V30" s="5">
        <v>410368.0</v>
      </c>
      <c r="W30" s="5">
        <v>24442.0</v>
      </c>
      <c r="X30" s="5">
        <v>416437.0</v>
      </c>
      <c r="Y30" s="5">
        <v>23473.0</v>
      </c>
      <c r="Z30" s="5">
        <v>420849.0</v>
      </c>
      <c r="AA30" s="5">
        <v>29650.0</v>
      </c>
      <c r="AB30" s="5">
        <v>427482.0</v>
      </c>
    </row>
    <row r="31">
      <c r="A31" s="3" t="s">
        <v>57</v>
      </c>
      <c r="B31" s="3" t="str">
        <f>VLOOKUP(A31,'Примечания'!$A:$B,2,0)</f>
        <v>ДФО</v>
      </c>
      <c r="C31" s="4">
        <f t="shared" ref="C31:D31" si="30">E31+G31+I31+K31+M31+O31+Q31+S31+U31+W31+Y31+AA31</f>
        <v>214358</v>
      </c>
      <c r="D31" s="4">
        <f t="shared" si="30"/>
        <v>4309102</v>
      </c>
      <c r="E31" s="5">
        <v>12714.0</v>
      </c>
      <c r="F31" s="5">
        <v>354073.0</v>
      </c>
      <c r="G31" s="5">
        <v>13925.0</v>
      </c>
      <c r="H31" s="5">
        <v>353462.0</v>
      </c>
      <c r="I31" s="5">
        <v>15889.0</v>
      </c>
      <c r="J31" s="5">
        <v>353905.0</v>
      </c>
      <c r="K31" s="5">
        <v>16747.0</v>
      </c>
      <c r="L31" s="5">
        <v>355162.0</v>
      </c>
      <c r="M31" s="5">
        <v>17164.0</v>
      </c>
      <c r="N31" s="5">
        <v>357653.0</v>
      </c>
      <c r="O31" s="5">
        <v>17648.0</v>
      </c>
      <c r="P31" s="5">
        <v>358605.0</v>
      </c>
      <c r="Q31" s="5">
        <v>19451.0</v>
      </c>
      <c r="R31" s="5">
        <v>356744.0</v>
      </c>
      <c r="S31" s="5">
        <v>19928.0</v>
      </c>
      <c r="T31" s="5">
        <v>360629.0</v>
      </c>
      <c r="U31" s="5">
        <v>18804.0</v>
      </c>
      <c r="V31" s="5">
        <v>362539.0</v>
      </c>
      <c r="W31" s="5">
        <v>20350.0</v>
      </c>
      <c r="X31" s="5">
        <v>365229.0</v>
      </c>
      <c r="Y31" s="5">
        <v>19390.0</v>
      </c>
      <c r="Z31" s="5">
        <v>366344.0</v>
      </c>
      <c r="AA31" s="5">
        <v>22348.0</v>
      </c>
      <c r="AB31" s="5">
        <v>364757.0</v>
      </c>
    </row>
    <row r="32">
      <c r="A32" s="3" t="s">
        <v>58</v>
      </c>
      <c r="B32" s="3" t="str">
        <f>VLOOKUP(A32,'Примечания'!$A:$B,2,0)</f>
        <v>ЦФО</v>
      </c>
      <c r="C32" s="4">
        <f t="shared" ref="C32:D32" si="31">E32+G32+I32+K32+M32+O32+Q32+S32+U32+W32+Y32+AA32</f>
        <v>201958</v>
      </c>
      <c r="D32" s="4">
        <f t="shared" si="31"/>
        <v>3827932</v>
      </c>
      <c r="E32" s="5">
        <v>12044.0</v>
      </c>
      <c r="F32" s="5">
        <v>316359.0</v>
      </c>
      <c r="G32" s="5">
        <v>13025.0</v>
      </c>
      <c r="H32" s="5">
        <v>314923.0</v>
      </c>
      <c r="I32" s="5">
        <v>15158.0</v>
      </c>
      <c r="J32" s="5">
        <v>315045.0</v>
      </c>
      <c r="K32" s="5">
        <v>15111.0</v>
      </c>
      <c r="L32" s="5">
        <v>315320.0</v>
      </c>
      <c r="M32" s="5">
        <v>15112.0</v>
      </c>
      <c r="N32" s="5">
        <v>316342.0</v>
      </c>
      <c r="O32" s="5">
        <v>15474.0</v>
      </c>
      <c r="P32" s="5">
        <v>316188.0</v>
      </c>
      <c r="Q32" s="5">
        <v>17150.0</v>
      </c>
      <c r="R32" s="5">
        <v>314982.0</v>
      </c>
      <c r="S32" s="5">
        <v>18019.0</v>
      </c>
      <c r="T32" s="5">
        <v>318035.0</v>
      </c>
      <c r="U32" s="5">
        <v>17753.0</v>
      </c>
      <c r="V32" s="5">
        <v>320008.0</v>
      </c>
      <c r="W32" s="5">
        <v>20259.0</v>
      </c>
      <c r="X32" s="5">
        <v>324076.0</v>
      </c>
      <c r="Y32" s="5">
        <v>19597.0</v>
      </c>
      <c r="Z32" s="5">
        <v>326942.0</v>
      </c>
      <c r="AA32" s="5">
        <v>23256.0</v>
      </c>
      <c r="AB32" s="5">
        <v>329712.0</v>
      </c>
    </row>
    <row r="33">
      <c r="A33" s="3" t="s">
        <v>59</v>
      </c>
      <c r="B33" s="3" t="str">
        <f>VLOOKUP(A33,'Примечания'!$A:$B,2,0)</f>
        <v>ЦФО</v>
      </c>
      <c r="C33" s="4">
        <f t="shared" ref="C33:D33" si="32">E33+G33+I33+K33+M33+O33+Q33+S33+U33+W33+Y33+AA33</f>
        <v>194701</v>
      </c>
      <c r="D33" s="4">
        <f t="shared" si="32"/>
        <v>3355111</v>
      </c>
      <c r="E33" s="5">
        <v>11366.0</v>
      </c>
      <c r="F33" s="5">
        <v>277856.0</v>
      </c>
      <c r="G33" s="5">
        <v>12225.0</v>
      </c>
      <c r="H33" s="5">
        <v>276232.0</v>
      </c>
      <c r="I33" s="5">
        <v>13481.0</v>
      </c>
      <c r="J33" s="5">
        <v>275224.0</v>
      </c>
      <c r="K33" s="5">
        <v>13989.0</v>
      </c>
      <c r="L33" s="5">
        <v>274889.0</v>
      </c>
      <c r="M33" s="5">
        <v>14785.0</v>
      </c>
      <c r="N33" s="5">
        <v>275813.0</v>
      </c>
      <c r="O33" s="5">
        <v>15320.0</v>
      </c>
      <c r="P33" s="5">
        <v>276291.0</v>
      </c>
      <c r="Q33" s="5">
        <v>16988.0</v>
      </c>
      <c r="R33" s="5">
        <v>276555.0</v>
      </c>
      <c r="S33" s="5">
        <v>17692.0</v>
      </c>
      <c r="T33" s="5">
        <v>279586.0</v>
      </c>
      <c r="U33" s="5">
        <v>17171.0</v>
      </c>
      <c r="V33" s="5">
        <v>281237.0</v>
      </c>
      <c r="W33" s="5">
        <v>19380.0</v>
      </c>
      <c r="X33" s="5">
        <v>284336.0</v>
      </c>
      <c r="Y33" s="5">
        <v>19434.0</v>
      </c>
      <c r="Z33" s="5">
        <v>287380.0</v>
      </c>
      <c r="AA33" s="5">
        <v>22870.0</v>
      </c>
      <c r="AB33" s="5">
        <v>289712.0</v>
      </c>
    </row>
    <row r="34">
      <c r="A34" s="3" t="s">
        <v>60</v>
      </c>
      <c r="B34" s="3" t="str">
        <f>VLOOKUP(A34,'Примечания'!$A:$B,2,0)</f>
        <v>ЮФО</v>
      </c>
      <c r="C34" s="4">
        <f t="shared" ref="C34:D34" si="33">E34+G34+I34+K34+M34+O34+Q34+S34+U34+W34+Y34+AA34</f>
        <v>191608</v>
      </c>
      <c r="D34" s="4">
        <f t="shared" si="33"/>
        <v>2353464</v>
      </c>
      <c r="E34" s="5">
        <v>13718.0</v>
      </c>
      <c r="F34" s="5">
        <v>189305.0</v>
      </c>
      <c r="G34" s="5">
        <v>14197.0</v>
      </c>
      <c r="H34" s="5">
        <v>189611.0</v>
      </c>
      <c r="I34" s="5">
        <v>15236.0</v>
      </c>
      <c r="J34" s="5">
        <v>190233.0</v>
      </c>
      <c r="K34" s="5">
        <v>14185.0</v>
      </c>
      <c r="L34" s="5">
        <v>190458.0</v>
      </c>
      <c r="M34" s="5">
        <v>13894.0</v>
      </c>
      <c r="N34" s="5">
        <v>191663.0</v>
      </c>
      <c r="O34" s="5">
        <v>13761.0</v>
      </c>
      <c r="P34" s="5">
        <v>192595.0</v>
      </c>
      <c r="Q34" s="5">
        <v>15604.0</v>
      </c>
      <c r="R34" s="5">
        <v>194148.0</v>
      </c>
      <c r="S34" s="5">
        <v>15936.0</v>
      </c>
      <c r="T34" s="5">
        <v>196537.0</v>
      </c>
      <c r="U34" s="5">
        <v>16163.0</v>
      </c>
      <c r="V34" s="5">
        <v>199090.0</v>
      </c>
      <c r="W34" s="5">
        <v>18365.0</v>
      </c>
      <c r="X34" s="5">
        <v>202830.0</v>
      </c>
      <c r="Y34" s="5">
        <v>17971.0</v>
      </c>
      <c r="Z34" s="5">
        <v>205793.0</v>
      </c>
      <c r="AA34" s="5">
        <v>22578.0</v>
      </c>
      <c r="AB34" s="5">
        <v>211201.0</v>
      </c>
    </row>
    <row r="35">
      <c r="A35" s="3" t="s">
        <v>61</v>
      </c>
      <c r="B35" s="3" t="str">
        <f>VLOOKUP(A35,'Примечания'!$A:$B,2,0)</f>
        <v>СЗФО</v>
      </c>
      <c r="C35" s="4">
        <f t="shared" ref="C35:D35" si="34">E35+G35+I35+K35+M35+O35+Q35+S35+U35+W35+Y35+AA35</f>
        <v>186914</v>
      </c>
      <c r="D35" s="4">
        <f t="shared" si="34"/>
        <v>2874493</v>
      </c>
      <c r="E35" s="5">
        <v>11273.0</v>
      </c>
      <c r="F35" s="5">
        <v>234954.0</v>
      </c>
      <c r="G35" s="5">
        <v>12105.0</v>
      </c>
      <c r="H35" s="5">
        <v>234393.0</v>
      </c>
      <c r="I35" s="5">
        <v>14490.0</v>
      </c>
      <c r="J35" s="5">
        <v>235331.0</v>
      </c>
      <c r="K35" s="5">
        <v>14210.0</v>
      </c>
      <c r="L35" s="5">
        <v>235983.0</v>
      </c>
      <c r="M35" s="5">
        <v>14682.0</v>
      </c>
      <c r="N35" s="5">
        <v>237525.0</v>
      </c>
      <c r="O35" s="5">
        <v>14729.0</v>
      </c>
      <c r="P35" s="5">
        <v>237832.0</v>
      </c>
      <c r="Q35" s="5">
        <v>15694.0</v>
      </c>
      <c r="R35" s="5">
        <v>237570.0</v>
      </c>
      <c r="S35" s="5">
        <v>16678.0</v>
      </c>
      <c r="T35" s="5">
        <v>239826.0</v>
      </c>
      <c r="U35" s="5">
        <v>16808.0</v>
      </c>
      <c r="V35" s="5">
        <v>242133.0</v>
      </c>
      <c r="W35" s="5">
        <v>17876.0</v>
      </c>
      <c r="X35" s="5">
        <v>244357.0</v>
      </c>
      <c r="Y35" s="5">
        <v>17898.0</v>
      </c>
      <c r="Z35" s="5">
        <v>246414.0</v>
      </c>
      <c r="AA35" s="5">
        <v>20471.0</v>
      </c>
      <c r="AB35" s="5">
        <v>248175.0</v>
      </c>
    </row>
    <row r="36">
      <c r="A36" s="3" t="s">
        <v>62</v>
      </c>
      <c r="B36" s="3" t="str">
        <f>VLOOKUP(A36,'Примечания'!$A:$B,2,0)</f>
        <v>ДФО</v>
      </c>
      <c r="C36" s="4">
        <f t="shared" ref="C36:D36" si="35">E36+G36+I36+K36+M36+O36+Q36+S36+U36+W36+Y36+AA36</f>
        <v>177903</v>
      </c>
      <c r="D36" s="4">
        <f t="shared" si="35"/>
        <v>4892858</v>
      </c>
      <c r="E36" s="5">
        <v>9733.0</v>
      </c>
      <c r="F36" s="5">
        <v>403742.0</v>
      </c>
      <c r="G36" s="5">
        <v>10085.0</v>
      </c>
      <c r="H36" s="5">
        <v>402408.0</v>
      </c>
      <c r="I36" s="5">
        <v>12123.0</v>
      </c>
      <c r="J36" s="5">
        <v>401854.0</v>
      </c>
      <c r="K36" s="5">
        <v>12510.0</v>
      </c>
      <c r="L36" s="5">
        <v>401976.0</v>
      </c>
      <c r="M36" s="5">
        <v>13298.0</v>
      </c>
      <c r="N36" s="5">
        <v>403212.0</v>
      </c>
      <c r="O36" s="5">
        <v>14994.0</v>
      </c>
      <c r="P36" s="5">
        <v>404136.0</v>
      </c>
      <c r="Q36" s="5">
        <v>18098.0</v>
      </c>
      <c r="R36" s="5">
        <v>404319.0</v>
      </c>
      <c r="S36" s="5">
        <v>19403.0</v>
      </c>
      <c r="T36" s="5">
        <v>410708.0</v>
      </c>
      <c r="U36" s="5">
        <v>15997.0</v>
      </c>
      <c r="V36" s="5">
        <v>412750.0</v>
      </c>
      <c r="W36" s="5">
        <v>16614.0</v>
      </c>
      <c r="X36" s="5">
        <v>415383.0</v>
      </c>
      <c r="Y36" s="5">
        <v>14822.0</v>
      </c>
      <c r="Z36" s="5">
        <v>415454.0</v>
      </c>
      <c r="AA36" s="5">
        <v>20226.0</v>
      </c>
      <c r="AB36" s="5">
        <v>416916.0</v>
      </c>
    </row>
    <row r="37">
      <c r="A37" s="3" t="s">
        <v>63</v>
      </c>
      <c r="B37" s="3" t="str">
        <f>VLOOKUP(A37,'Примечания'!$A:$B,2,0)</f>
        <v>ПФО</v>
      </c>
      <c r="C37" s="4">
        <f t="shared" ref="C37:D37" si="36">E37+G37+I37+K37+M37+O37+Q37+S37+U37+W37+Y37+AA37</f>
        <v>173059</v>
      </c>
      <c r="D37" s="4">
        <f t="shared" si="36"/>
        <v>3031109</v>
      </c>
      <c r="E37" s="5">
        <v>10178.0</v>
      </c>
      <c r="F37" s="5">
        <v>249040.0</v>
      </c>
      <c r="G37" s="5">
        <v>11129.0</v>
      </c>
      <c r="H37" s="5">
        <v>248202.0</v>
      </c>
      <c r="I37" s="5">
        <v>12569.0</v>
      </c>
      <c r="J37" s="5">
        <v>247994.0</v>
      </c>
      <c r="K37" s="5">
        <v>12629.0</v>
      </c>
      <c r="L37" s="5">
        <v>248702.0</v>
      </c>
      <c r="M37" s="5">
        <v>12840.0</v>
      </c>
      <c r="N37" s="5">
        <v>249812.0</v>
      </c>
      <c r="O37" s="5">
        <v>12892.0</v>
      </c>
      <c r="P37" s="5">
        <v>249676.0</v>
      </c>
      <c r="Q37" s="5">
        <v>14004.0</v>
      </c>
      <c r="R37" s="5">
        <v>249347.0</v>
      </c>
      <c r="S37" s="5">
        <v>15543.0</v>
      </c>
      <c r="T37" s="5">
        <v>252023.0</v>
      </c>
      <c r="U37" s="5">
        <v>15185.0</v>
      </c>
      <c r="V37" s="5">
        <v>254122.0</v>
      </c>
      <c r="W37" s="5">
        <v>17125.0</v>
      </c>
      <c r="X37" s="5">
        <v>257646.0</v>
      </c>
      <c r="Y37" s="5">
        <v>17433.0</v>
      </c>
      <c r="Z37" s="5">
        <v>260792.0</v>
      </c>
      <c r="AA37" s="5">
        <v>21532.0</v>
      </c>
      <c r="AB37" s="5">
        <v>263753.0</v>
      </c>
    </row>
    <row r="38">
      <c r="A38" s="3" t="s">
        <v>64</v>
      </c>
      <c r="B38" s="3" t="str">
        <f>VLOOKUP(A38,'Примечания'!$A:$B,2,0)</f>
        <v>СЗФО</v>
      </c>
      <c r="C38" s="4">
        <f t="shared" ref="C38:D38" si="37">E38+G38+I38+K38+M38+O38+Q38+S38+U38+W38+Y38+AA38</f>
        <v>171042</v>
      </c>
      <c r="D38" s="4">
        <f t="shared" si="37"/>
        <v>3205211</v>
      </c>
      <c r="E38" s="5">
        <v>9692.0</v>
      </c>
      <c r="F38" s="5">
        <v>265055.0</v>
      </c>
      <c r="G38" s="5">
        <v>10931.0</v>
      </c>
      <c r="H38" s="5">
        <v>264316.0</v>
      </c>
      <c r="I38" s="5">
        <v>12101.0</v>
      </c>
      <c r="J38" s="5">
        <v>263726.0</v>
      </c>
      <c r="K38" s="5">
        <v>13089.0</v>
      </c>
      <c r="L38" s="5">
        <v>264521.0</v>
      </c>
      <c r="M38" s="5">
        <v>13365.0</v>
      </c>
      <c r="N38" s="5">
        <v>265775.0</v>
      </c>
      <c r="O38" s="5">
        <v>14076.0</v>
      </c>
      <c r="P38" s="5">
        <v>266166.0</v>
      </c>
      <c r="Q38" s="5">
        <v>15095.0</v>
      </c>
      <c r="R38" s="5">
        <v>263999.0</v>
      </c>
      <c r="S38" s="5">
        <v>15812.0</v>
      </c>
      <c r="T38" s="5">
        <v>266739.0</v>
      </c>
      <c r="U38" s="5">
        <v>15360.0</v>
      </c>
      <c r="V38" s="5">
        <v>268581.0</v>
      </c>
      <c r="W38" s="5">
        <v>16609.0</v>
      </c>
      <c r="X38" s="5">
        <v>271052.0</v>
      </c>
      <c r="Y38" s="5">
        <v>15959.0</v>
      </c>
      <c r="Z38" s="5">
        <v>272402.0</v>
      </c>
      <c r="AA38" s="5">
        <v>18953.0</v>
      </c>
      <c r="AB38" s="5">
        <v>272879.0</v>
      </c>
    </row>
    <row r="39">
      <c r="A39" s="3" t="s">
        <v>65</v>
      </c>
      <c r="B39" s="3" t="str">
        <f>VLOOKUP(A39,'Примечания'!$A:$B,2,0)</f>
        <v>ЦФО</v>
      </c>
      <c r="C39" s="4">
        <f t="shared" ref="C39:D39" si="38">E39+G39+I39+K39+M39+O39+Q39+S39+U39+W39+Y39+AA39</f>
        <v>165694</v>
      </c>
      <c r="D39" s="4">
        <f t="shared" si="38"/>
        <v>2740013</v>
      </c>
      <c r="E39" s="5">
        <v>10059.0</v>
      </c>
      <c r="F39" s="5">
        <v>227876.0</v>
      </c>
      <c r="G39" s="5">
        <v>10981.0</v>
      </c>
      <c r="H39" s="5">
        <v>226833.0</v>
      </c>
      <c r="I39" s="5">
        <v>12451.0</v>
      </c>
      <c r="J39" s="5">
        <v>226599.0</v>
      </c>
      <c r="K39" s="5">
        <v>12082.0</v>
      </c>
      <c r="L39" s="5">
        <v>226392.0</v>
      </c>
      <c r="M39" s="5">
        <v>12634.0</v>
      </c>
      <c r="N39" s="5">
        <v>226810.0</v>
      </c>
      <c r="O39" s="5">
        <v>12960.0</v>
      </c>
      <c r="P39" s="5">
        <v>226382.0</v>
      </c>
      <c r="Q39" s="5">
        <v>14655.0</v>
      </c>
      <c r="R39" s="5">
        <v>225758.0</v>
      </c>
      <c r="S39" s="5">
        <v>15430.0</v>
      </c>
      <c r="T39" s="5">
        <v>227980.0</v>
      </c>
      <c r="U39" s="5">
        <v>14921.0</v>
      </c>
      <c r="V39" s="5">
        <v>229311.0</v>
      </c>
      <c r="W39" s="5">
        <v>16246.0</v>
      </c>
      <c r="X39" s="5">
        <v>231141.0</v>
      </c>
      <c r="Y39" s="5">
        <v>15497.0</v>
      </c>
      <c r="Z39" s="5">
        <v>232150.0</v>
      </c>
      <c r="AA39" s="5">
        <v>17778.0</v>
      </c>
      <c r="AB39" s="5">
        <v>232781.0</v>
      </c>
    </row>
    <row r="40">
      <c r="A40" s="3" t="s">
        <v>66</v>
      </c>
      <c r="B40" s="3" t="str">
        <f>VLOOKUP(A40,'Примечания'!$A:$B,2,0)</f>
        <v>СЗФО</v>
      </c>
      <c r="C40" s="4">
        <f t="shared" ref="C40:D40" si="39">E40+G40+I40+K40+M40+O40+Q40+S40+U40+W40+Y40+AA40</f>
        <v>164201</v>
      </c>
      <c r="D40" s="4">
        <f t="shared" si="39"/>
        <v>3059784</v>
      </c>
      <c r="E40" s="5">
        <v>9310.0</v>
      </c>
      <c r="F40" s="5">
        <v>252804.0</v>
      </c>
      <c r="G40" s="5">
        <v>10508.0</v>
      </c>
      <c r="H40" s="5">
        <v>252136.0</v>
      </c>
      <c r="I40" s="5">
        <v>11589.0</v>
      </c>
      <c r="J40" s="5">
        <v>251583.0</v>
      </c>
      <c r="K40" s="5">
        <v>12600.0</v>
      </c>
      <c r="L40" s="5">
        <v>252444.0</v>
      </c>
      <c r="M40" s="5">
        <v>12896.0</v>
      </c>
      <c r="N40" s="5">
        <v>253756.0</v>
      </c>
      <c r="O40" s="5">
        <v>13482.0</v>
      </c>
      <c r="P40" s="5">
        <v>254163.0</v>
      </c>
      <c r="Q40" s="5">
        <v>14439.0</v>
      </c>
      <c r="R40" s="5">
        <v>251988.0</v>
      </c>
      <c r="S40" s="5">
        <v>15132.0</v>
      </c>
      <c r="T40" s="5">
        <v>254637.0</v>
      </c>
      <c r="U40" s="5">
        <v>14706.0</v>
      </c>
      <c r="V40" s="5">
        <v>256415.0</v>
      </c>
      <c r="W40" s="5">
        <v>15966.0</v>
      </c>
      <c r="X40" s="5">
        <v>258856.0</v>
      </c>
      <c r="Y40" s="5">
        <v>15357.0</v>
      </c>
      <c r="Z40" s="5">
        <v>260236.0</v>
      </c>
      <c r="AA40" s="5">
        <v>18216.0</v>
      </c>
      <c r="AB40" s="5">
        <v>260766.0</v>
      </c>
    </row>
    <row r="41">
      <c r="A41" s="3" t="s">
        <v>67</v>
      </c>
      <c r="B41" s="3" t="str">
        <f>VLOOKUP(A41,'Примечания'!$A:$B,2,0)</f>
        <v>ЦФО</v>
      </c>
      <c r="C41" s="4">
        <f t="shared" ref="C41:D41" si="40">E41+G41+I41+K41+M41+O41+Q41+S41+U41+W41+Y41+AA41</f>
        <v>164183</v>
      </c>
      <c r="D41" s="4">
        <f t="shared" si="40"/>
        <v>2674576</v>
      </c>
      <c r="E41" s="5">
        <v>10113.0</v>
      </c>
      <c r="F41" s="5">
        <v>220382.0</v>
      </c>
      <c r="G41" s="5">
        <v>11090.0</v>
      </c>
      <c r="H41" s="5">
        <v>219743.0</v>
      </c>
      <c r="I41" s="5">
        <v>12539.0</v>
      </c>
      <c r="J41" s="5">
        <v>219848.0</v>
      </c>
      <c r="K41" s="5">
        <v>12454.0</v>
      </c>
      <c r="L41" s="5">
        <v>221105.0</v>
      </c>
      <c r="M41" s="5">
        <v>12709.0</v>
      </c>
      <c r="N41" s="5">
        <v>221915.0</v>
      </c>
      <c r="O41" s="5">
        <v>13150.0</v>
      </c>
      <c r="P41" s="5">
        <v>221687.0</v>
      </c>
      <c r="Q41" s="5">
        <v>13856.0</v>
      </c>
      <c r="R41" s="5">
        <v>221063.0</v>
      </c>
      <c r="S41" s="5">
        <v>15150.0</v>
      </c>
      <c r="T41" s="5">
        <v>223286.0</v>
      </c>
      <c r="U41" s="5">
        <v>14560.0</v>
      </c>
      <c r="V41" s="5">
        <v>224646.0</v>
      </c>
      <c r="W41" s="5">
        <v>15493.0</v>
      </c>
      <c r="X41" s="5">
        <v>226218.0</v>
      </c>
      <c r="Y41" s="5">
        <v>15239.0</v>
      </c>
      <c r="Z41" s="5">
        <v>227114.0</v>
      </c>
      <c r="AA41" s="5">
        <v>17830.0</v>
      </c>
      <c r="AB41" s="5">
        <v>227569.0</v>
      </c>
    </row>
    <row r="42">
      <c r="A42" s="3" t="s">
        <v>68</v>
      </c>
      <c r="B42" s="3" t="str">
        <f>VLOOKUP(A42,'Примечания'!$A:$B,2,0)</f>
        <v>ЦФО</v>
      </c>
      <c r="C42" s="4">
        <f t="shared" ref="C42:D42" si="41">E42+G42+I42+K42+M42+O42+Q42+S42+U42+W42+Y42+AA42</f>
        <v>162179</v>
      </c>
      <c r="D42" s="4">
        <f t="shared" si="41"/>
        <v>2936335</v>
      </c>
      <c r="E42" s="5">
        <v>9839.0</v>
      </c>
      <c r="F42" s="5">
        <v>243556.0</v>
      </c>
      <c r="G42" s="5">
        <v>10377.0</v>
      </c>
      <c r="H42" s="5">
        <v>242477.0</v>
      </c>
      <c r="I42" s="5">
        <v>12097.0</v>
      </c>
      <c r="J42" s="5">
        <v>242413.0</v>
      </c>
      <c r="K42" s="5">
        <v>12392.0</v>
      </c>
      <c r="L42" s="5">
        <v>242528.0</v>
      </c>
      <c r="M42" s="5">
        <v>12719.0</v>
      </c>
      <c r="N42" s="5">
        <v>243622.0</v>
      </c>
      <c r="O42" s="5">
        <v>13017.0</v>
      </c>
      <c r="P42" s="5">
        <v>243539.0</v>
      </c>
      <c r="Q42" s="5">
        <v>14067.0</v>
      </c>
      <c r="R42" s="5">
        <v>242195.0</v>
      </c>
      <c r="S42" s="5">
        <v>15046.0</v>
      </c>
      <c r="T42" s="5">
        <v>244456.0</v>
      </c>
      <c r="U42" s="5">
        <v>14591.0</v>
      </c>
      <c r="V42" s="5">
        <v>246039.0</v>
      </c>
      <c r="W42" s="5">
        <v>15597.0</v>
      </c>
      <c r="X42" s="5">
        <v>247924.0</v>
      </c>
      <c r="Y42" s="5">
        <v>15046.0</v>
      </c>
      <c r="Z42" s="5">
        <v>248768.0</v>
      </c>
      <c r="AA42" s="5">
        <v>17391.0</v>
      </c>
      <c r="AB42" s="5">
        <v>248818.0</v>
      </c>
    </row>
    <row r="43">
      <c r="A43" s="3" t="s">
        <v>69</v>
      </c>
      <c r="B43" s="3" t="str">
        <f>VLOOKUP(A43,'Примечания'!$A:$B,2,0)</f>
        <v>ПФО</v>
      </c>
      <c r="C43" s="4">
        <f t="shared" ref="C43:D43" si="42">E43+G43+I43+K43+M43+O43+Q43+S43+U43+W43+Y43+AA43</f>
        <v>158642</v>
      </c>
      <c r="D43" s="4">
        <f t="shared" si="42"/>
        <v>2753740</v>
      </c>
      <c r="E43" s="5">
        <v>9245.0</v>
      </c>
      <c r="F43" s="5">
        <v>227593.0</v>
      </c>
      <c r="G43" s="5">
        <v>10277.0</v>
      </c>
      <c r="H43" s="5">
        <v>226787.0</v>
      </c>
      <c r="I43" s="5">
        <v>11560.0</v>
      </c>
      <c r="J43" s="5">
        <v>226282.0</v>
      </c>
      <c r="K43" s="5">
        <v>11773.0</v>
      </c>
      <c r="L43" s="5">
        <v>226585.0</v>
      </c>
      <c r="M43" s="5">
        <v>11972.0</v>
      </c>
      <c r="N43" s="5">
        <v>227370.0</v>
      </c>
      <c r="O43" s="5">
        <v>12470.0</v>
      </c>
      <c r="P43" s="5">
        <v>227393.0</v>
      </c>
      <c r="Q43" s="5">
        <v>13642.0</v>
      </c>
      <c r="R43" s="5">
        <v>227203.0</v>
      </c>
      <c r="S43" s="5">
        <v>14585.0</v>
      </c>
      <c r="T43" s="5">
        <v>229432.0</v>
      </c>
      <c r="U43" s="5">
        <v>14088.0</v>
      </c>
      <c r="V43" s="5">
        <v>230834.0</v>
      </c>
      <c r="W43" s="5">
        <v>15463.0</v>
      </c>
      <c r="X43" s="5">
        <v>232854.0</v>
      </c>
      <c r="Y43" s="5">
        <v>15311.0</v>
      </c>
      <c r="Z43" s="5">
        <v>234681.0</v>
      </c>
      <c r="AA43" s="5">
        <v>18256.0</v>
      </c>
      <c r="AB43" s="5">
        <v>236726.0</v>
      </c>
    </row>
    <row r="44">
      <c r="A44" s="3" t="s">
        <v>70</v>
      </c>
      <c r="B44" s="3" t="str">
        <f>VLOOKUP(A44,'Примечания'!$A:$B,2,0)</f>
        <v>СЗФО</v>
      </c>
      <c r="C44" s="4">
        <f t="shared" ref="C44:D44" si="43">E44+G44+I44+K44+M44+O44+Q44+S44+U44+W44+Y44+AA44</f>
        <v>156456</v>
      </c>
      <c r="D44" s="4">
        <f t="shared" si="43"/>
        <v>2728585</v>
      </c>
      <c r="E44" s="5">
        <v>9281.0</v>
      </c>
      <c r="F44" s="5">
        <v>226436.0</v>
      </c>
      <c r="G44" s="5">
        <v>10035.0</v>
      </c>
      <c r="H44" s="5">
        <v>225172.0</v>
      </c>
      <c r="I44" s="5">
        <v>11293.0</v>
      </c>
      <c r="J44" s="5">
        <v>224608.0</v>
      </c>
      <c r="K44" s="5">
        <v>11505.0</v>
      </c>
      <c r="L44" s="5">
        <v>224825.0</v>
      </c>
      <c r="M44" s="5">
        <v>12081.0</v>
      </c>
      <c r="N44" s="5">
        <v>225743.0</v>
      </c>
      <c r="O44" s="5">
        <v>12466.0</v>
      </c>
      <c r="P44" s="5">
        <v>225815.0</v>
      </c>
      <c r="Q44" s="5">
        <v>13481.0</v>
      </c>
      <c r="R44" s="5">
        <v>224545.0</v>
      </c>
      <c r="S44" s="5">
        <v>14332.0</v>
      </c>
      <c r="T44" s="5">
        <v>226774.0</v>
      </c>
      <c r="U44" s="5">
        <v>14112.0</v>
      </c>
      <c r="V44" s="5">
        <v>228250.0</v>
      </c>
      <c r="W44" s="5">
        <v>15429.0</v>
      </c>
      <c r="X44" s="5">
        <v>230581.0</v>
      </c>
      <c r="Y44" s="5">
        <v>15394.0</v>
      </c>
      <c r="Z44" s="5">
        <v>232452.0</v>
      </c>
      <c r="AA44" s="5">
        <v>17047.0</v>
      </c>
      <c r="AB44" s="5">
        <v>233384.0</v>
      </c>
    </row>
    <row r="45">
      <c r="A45" s="3" t="s">
        <v>71</v>
      </c>
      <c r="B45" s="3" t="str">
        <f>VLOOKUP(A45,'Примечания'!$A:$B,2,0)</f>
        <v>СФО</v>
      </c>
      <c r="C45" s="4">
        <f t="shared" ref="C45:D45" si="44">E45+G45+I45+K45+M45+O45+Q45+S45+U45+W45+Y45+AA45</f>
        <v>154469</v>
      </c>
      <c r="D45" s="4">
        <f t="shared" si="44"/>
        <v>2692484</v>
      </c>
      <c r="E45" s="5">
        <v>9345.0</v>
      </c>
      <c r="F45" s="5">
        <v>223754.0</v>
      </c>
      <c r="G45" s="5">
        <v>10058.0</v>
      </c>
      <c r="H45" s="5">
        <v>222620.0</v>
      </c>
      <c r="I45" s="5">
        <v>11518.0</v>
      </c>
      <c r="J45" s="5">
        <v>222247.0</v>
      </c>
      <c r="K45" s="5">
        <v>11424.0</v>
      </c>
      <c r="L45" s="5">
        <v>222088.0</v>
      </c>
      <c r="M45" s="5">
        <v>12142.0</v>
      </c>
      <c r="N45" s="5">
        <v>222868.0</v>
      </c>
      <c r="O45" s="5">
        <v>12448.0</v>
      </c>
      <c r="P45" s="5">
        <v>222749.0</v>
      </c>
      <c r="Q45" s="5">
        <v>13731.0</v>
      </c>
      <c r="R45" s="5">
        <v>222876.0</v>
      </c>
      <c r="S45" s="5">
        <v>14198.0</v>
      </c>
      <c r="T45" s="5">
        <v>225010.0</v>
      </c>
      <c r="U45" s="5">
        <v>13749.0</v>
      </c>
      <c r="V45" s="5">
        <v>225845.0</v>
      </c>
      <c r="W45" s="5">
        <v>14736.0</v>
      </c>
      <c r="X45" s="5">
        <v>227049.0</v>
      </c>
      <c r="Y45" s="5">
        <v>14119.0</v>
      </c>
      <c r="Z45" s="5">
        <v>227685.0</v>
      </c>
      <c r="AA45" s="5">
        <v>17001.0</v>
      </c>
      <c r="AB45" s="5">
        <v>227693.0</v>
      </c>
    </row>
    <row r="46">
      <c r="A46" s="3" t="s">
        <v>72</v>
      </c>
      <c r="B46" s="3" t="str">
        <f>VLOOKUP(A46,'Примечания'!$A:$B,2,0)</f>
        <v>СФО</v>
      </c>
      <c r="C46" s="4">
        <f t="shared" ref="C46:D46" si="45">E46+G46+I46+K46+M46+O46+Q46+S46+U46+W46+Y46+AA46</f>
        <v>153373</v>
      </c>
      <c r="D46" s="4">
        <f t="shared" si="45"/>
        <v>2820029</v>
      </c>
      <c r="E46" s="5">
        <v>8657.0</v>
      </c>
      <c r="F46" s="5">
        <v>224707.0</v>
      </c>
      <c r="G46" s="5">
        <v>9882.0</v>
      </c>
      <c r="H46" s="5">
        <v>225373.0</v>
      </c>
      <c r="I46" s="5">
        <v>11162.0</v>
      </c>
      <c r="J46" s="5">
        <v>227022.0</v>
      </c>
      <c r="K46" s="5">
        <v>11273.0</v>
      </c>
      <c r="L46" s="5">
        <v>228484.0</v>
      </c>
      <c r="M46" s="5">
        <v>11721.0</v>
      </c>
      <c r="N46" s="5">
        <v>230886.0</v>
      </c>
      <c r="O46" s="5">
        <v>12383.0</v>
      </c>
      <c r="P46" s="5">
        <v>232671.0</v>
      </c>
      <c r="Q46" s="5">
        <v>13883.0</v>
      </c>
      <c r="R46" s="5">
        <v>233928.0</v>
      </c>
      <c r="S46" s="5">
        <v>14580.0</v>
      </c>
      <c r="T46" s="5">
        <v>237928.0</v>
      </c>
      <c r="U46" s="5">
        <v>13312.0</v>
      </c>
      <c r="V46" s="5">
        <v>240300.0</v>
      </c>
      <c r="W46" s="5">
        <v>14627.0</v>
      </c>
      <c r="X46" s="5">
        <v>243690.0</v>
      </c>
      <c r="Y46" s="5">
        <v>13964.0</v>
      </c>
      <c r="Z46" s="5">
        <v>245859.0</v>
      </c>
      <c r="AA46" s="5">
        <v>17929.0</v>
      </c>
      <c r="AB46" s="5">
        <v>249181.0</v>
      </c>
    </row>
    <row r="47">
      <c r="A47" s="3" t="s">
        <v>73</v>
      </c>
      <c r="B47" s="3" t="str">
        <f>VLOOKUP(A47,'Примечания'!$A:$B,2,0)</f>
        <v>ЦФО</v>
      </c>
      <c r="C47" s="4">
        <f t="shared" ref="C47:D47" si="46">E47+G47+I47+K47+M47+O47+Q47+S47+U47+W47+Y47+AA47</f>
        <v>151712</v>
      </c>
      <c r="D47" s="4">
        <f t="shared" si="46"/>
        <v>2871572</v>
      </c>
      <c r="E47" s="5">
        <v>9166.0</v>
      </c>
      <c r="F47" s="5">
        <v>238442.0</v>
      </c>
      <c r="G47" s="5">
        <v>9966.0</v>
      </c>
      <c r="H47" s="5">
        <v>237424.0</v>
      </c>
      <c r="I47" s="5">
        <v>11446.0</v>
      </c>
      <c r="J47" s="5">
        <v>237291.0</v>
      </c>
      <c r="K47" s="5">
        <v>11604.0</v>
      </c>
      <c r="L47" s="5">
        <v>237621.0</v>
      </c>
      <c r="M47" s="5">
        <v>11740.0</v>
      </c>
      <c r="N47" s="5">
        <v>238421.0</v>
      </c>
      <c r="O47" s="5">
        <v>11893.0</v>
      </c>
      <c r="P47" s="5">
        <v>238108.0</v>
      </c>
      <c r="Q47" s="5">
        <v>13323.0</v>
      </c>
      <c r="R47" s="5">
        <v>236863.0</v>
      </c>
      <c r="S47" s="5">
        <v>13911.0</v>
      </c>
      <c r="T47" s="5">
        <v>238986.0</v>
      </c>
      <c r="U47" s="5">
        <v>13566.0</v>
      </c>
      <c r="V47" s="5">
        <v>240182.0</v>
      </c>
      <c r="W47" s="5">
        <v>14803.0</v>
      </c>
      <c r="X47" s="5">
        <v>242074.0</v>
      </c>
      <c r="Y47" s="5">
        <v>14206.0</v>
      </c>
      <c r="Z47" s="5">
        <v>243066.0</v>
      </c>
      <c r="AA47" s="5">
        <v>16088.0</v>
      </c>
      <c r="AB47" s="5">
        <v>243094.0</v>
      </c>
    </row>
    <row r="48">
      <c r="A48" s="3" t="s">
        <v>74</v>
      </c>
      <c r="B48" s="3" t="str">
        <f>VLOOKUP(A48,'Примечания'!$A:$B,2,0)</f>
        <v>ПФО</v>
      </c>
      <c r="C48" s="4">
        <f t="shared" ref="C48:D48" si="47">E48+G48+I48+K48+M48+O48+Q48+S48+U48+W48+Y48+AA48</f>
        <v>149802</v>
      </c>
      <c r="D48" s="4">
        <f t="shared" si="47"/>
        <v>2821705</v>
      </c>
      <c r="E48" s="5">
        <v>8833.0</v>
      </c>
      <c r="F48" s="5">
        <v>234964.0</v>
      </c>
      <c r="G48" s="5">
        <v>9795.0</v>
      </c>
      <c r="H48" s="5">
        <v>234063.0</v>
      </c>
      <c r="I48" s="5">
        <v>11104.0</v>
      </c>
      <c r="J48" s="5">
        <v>233881.0</v>
      </c>
      <c r="K48" s="5">
        <v>11171.0</v>
      </c>
      <c r="L48" s="5">
        <v>233965.0</v>
      </c>
      <c r="M48" s="5">
        <v>11482.0</v>
      </c>
      <c r="N48" s="5">
        <v>234565.0</v>
      </c>
      <c r="O48" s="5">
        <v>12000.0</v>
      </c>
      <c r="P48" s="5">
        <v>234071.0</v>
      </c>
      <c r="Q48" s="5">
        <v>12979.0</v>
      </c>
      <c r="R48" s="5">
        <v>232958.0</v>
      </c>
      <c r="S48" s="5">
        <v>13261.0</v>
      </c>
      <c r="T48" s="5">
        <v>234590.0</v>
      </c>
      <c r="U48" s="5">
        <v>13097.0</v>
      </c>
      <c r="V48" s="5">
        <v>234835.0</v>
      </c>
      <c r="W48" s="5">
        <v>14312.0</v>
      </c>
      <c r="X48" s="5">
        <v>236551.0</v>
      </c>
      <c r="Y48" s="5">
        <v>14463.0</v>
      </c>
      <c r="Z48" s="5">
        <v>238113.0</v>
      </c>
      <c r="AA48" s="5">
        <v>17305.0</v>
      </c>
      <c r="AB48" s="5">
        <v>239149.0</v>
      </c>
    </row>
    <row r="49">
      <c r="A49" s="3" t="s">
        <v>75</v>
      </c>
      <c r="B49" s="3" t="str">
        <f>VLOOKUP(A49,'Примечания'!$A:$B,2,0)</f>
        <v>ПФО</v>
      </c>
      <c r="C49" s="4">
        <f t="shared" ref="C49:D49" si="48">E49+G49+I49+K49+M49+O49+Q49+S49+U49+W49+Y49+AA49</f>
        <v>146886</v>
      </c>
      <c r="D49" s="4">
        <f t="shared" si="48"/>
        <v>2620073</v>
      </c>
      <c r="E49" s="5">
        <v>9144.0</v>
      </c>
      <c r="F49" s="5">
        <v>218102.0</v>
      </c>
      <c r="G49" s="5">
        <v>9349.0</v>
      </c>
      <c r="H49" s="5">
        <v>216860.0</v>
      </c>
      <c r="I49" s="5">
        <v>10825.0</v>
      </c>
      <c r="J49" s="5">
        <v>216558.0</v>
      </c>
      <c r="K49" s="5">
        <v>10681.0</v>
      </c>
      <c r="L49" s="5">
        <v>216303.0</v>
      </c>
      <c r="M49" s="5">
        <v>10947.0</v>
      </c>
      <c r="N49" s="5">
        <v>216767.0</v>
      </c>
      <c r="O49" s="5">
        <v>11423.0</v>
      </c>
      <c r="P49" s="5">
        <v>216188.0</v>
      </c>
      <c r="Q49" s="5">
        <v>12966.0</v>
      </c>
      <c r="R49" s="5">
        <v>215728.0</v>
      </c>
      <c r="S49" s="5">
        <v>13444.0</v>
      </c>
      <c r="T49" s="5">
        <v>217926.0</v>
      </c>
      <c r="U49" s="5">
        <v>13035.0</v>
      </c>
      <c r="V49" s="5">
        <v>219131.0</v>
      </c>
      <c r="W49" s="5">
        <v>14467.0</v>
      </c>
      <c r="X49" s="5">
        <v>221125.0</v>
      </c>
      <c r="Y49" s="5">
        <v>13868.0</v>
      </c>
      <c r="Z49" s="5">
        <v>222336.0</v>
      </c>
      <c r="AA49" s="5">
        <v>16737.0</v>
      </c>
      <c r="AB49" s="5">
        <v>223049.0</v>
      </c>
    </row>
    <row r="50">
      <c r="A50" s="3" t="s">
        <v>76</v>
      </c>
      <c r="B50" s="3" t="str">
        <f>VLOOKUP(A50,'Примечания'!$A:$B,2,0)</f>
        <v>ЦФО</v>
      </c>
      <c r="C50" s="4">
        <f t="shared" ref="C50:D50" si="49">E50+G50+I50+K50+M50+O50+Q50+S50+U50+W50+Y50+AA50</f>
        <v>145976</v>
      </c>
      <c r="D50" s="4">
        <f t="shared" si="49"/>
        <v>2713376</v>
      </c>
      <c r="E50" s="5">
        <v>8621.0</v>
      </c>
      <c r="F50" s="5">
        <v>223920.0</v>
      </c>
      <c r="G50" s="5">
        <v>9409.0</v>
      </c>
      <c r="H50" s="5">
        <v>223088.0</v>
      </c>
      <c r="I50" s="5">
        <v>10529.0</v>
      </c>
      <c r="J50" s="5">
        <v>222876.0</v>
      </c>
      <c r="K50" s="5">
        <v>10680.0</v>
      </c>
      <c r="L50" s="5">
        <v>222966.0</v>
      </c>
      <c r="M50" s="5">
        <v>11052.0</v>
      </c>
      <c r="N50" s="5">
        <v>223747.0</v>
      </c>
      <c r="O50" s="5">
        <v>11420.0</v>
      </c>
      <c r="P50" s="5">
        <v>224027.0</v>
      </c>
      <c r="Q50" s="5">
        <v>12601.0</v>
      </c>
      <c r="R50" s="5">
        <v>223511.0</v>
      </c>
      <c r="S50" s="5">
        <v>13545.0</v>
      </c>
      <c r="T50" s="5">
        <v>226132.0</v>
      </c>
      <c r="U50" s="5">
        <v>12869.0</v>
      </c>
      <c r="V50" s="5">
        <v>227595.0</v>
      </c>
      <c r="W50" s="5">
        <v>14242.0</v>
      </c>
      <c r="X50" s="5">
        <v>229866.0</v>
      </c>
      <c r="Y50" s="5">
        <v>14087.0</v>
      </c>
      <c r="Z50" s="5">
        <v>231926.0</v>
      </c>
      <c r="AA50" s="5">
        <v>16921.0</v>
      </c>
      <c r="AB50" s="5">
        <v>233722.0</v>
      </c>
    </row>
    <row r="51">
      <c r="A51" s="3" t="s">
        <v>77</v>
      </c>
      <c r="B51" s="3" t="str">
        <f>VLOOKUP(A51,'Примечания'!$A:$B,2,0)</f>
        <v>СФО</v>
      </c>
      <c r="C51" s="4">
        <f t="shared" ref="C51:D51" si="50">E51+G51+I51+K51+M51+O51+Q51+S51+U51+W51+Y51+AA51</f>
        <v>141607</v>
      </c>
      <c r="D51" s="4">
        <f t="shared" si="50"/>
        <v>2847621</v>
      </c>
      <c r="E51" s="5">
        <v>8291.0</v>
      </c>
      <c r="F51" s="5">
        <v>233751.0</v>
      </c>
      <c r="G51" s="5">
        <v>8843.0</v>
      </c>
      <c r="H51" s="5">
        <v>233328.0</v>
      </c>
      <c r="I51" s="5">
        <v>10094.0</v>
      </c>
      <c r="J51" s="5">
        <v>233608.0</v>
      </c>
      <c r="K51" s="5">
        <v>10635.0</v>
      </c>
      <c r="L51" s="5">
        <v>234301.0</v>
      </c>
      <c r="M51" s="5">
        <v>10800.0</v>
      </c>
      <c r="N51" s="5">
        <v>235616.0</v>
      </c>
      <c r="O51" s="5">
        <v>11296.0</v>
      </c>
      <c r="P51" s="5">
        <v>235566.0</v>
      </c>
      <c r="Q51" s="5">
        <v>12698.0</v>
      </c>
      <c r="R51" s="5">
        <v>234859.0</v>
      </c>
      <c r="S51" s="5">
        <v>13616.0</v>
      </c>
      <c r="T51" s="5">
        <v>238133.0</v>
      </c>
      <c r="U51" s="5">
        <v>12326.0</v>
      </c>
      <c r="V51" s="5">
        <v>239438.0</v>
      </c>
      <c r="W51" s="5">
        <v>13936.0</v>
      </c>
      <c r="X51" s="5">
        <v>242277.0</v>
      </c>
      <c r="Y51" s="5">
        <v>12851.0</v>
      </c>
      <c r="Z51" s="5">
        <v>242960.0</v>
      </c>
      <c r="AA51" s="5">
        <v>16221.0</v>
      </c>
      <c r="AB51" s="5">
        <v>243784.0</v>
      </c>
    </row>
    <row r="52">
      <c r="A52" s="3" t="s">
        <v>78</v>
      </c>
      <c r="B52" s="3" t="str">
        <f>VLOOKUP(A52,'Примечания'!$A:$B,2,0)</f>
        <v>ЦФО</v>
      </c>
      <c r="C52" s="4">
        <f t="shared" ref="C52:D52" si="51">E52+G52+I52+K52+M52+O52+Q52+S52+U52+W52+Y52+AA52</f>
        <v>138884</v>
      </c>
      <c r="D52" s="4">
        <f t="shared" si="51"/>
        <v>2251686</v>
      </c>
      <c r="E52" s="5">
        <v>8608.0</v>
      </c>
      <c r="F52" s="5">
        <v>186562.0</v>
      </c>
      <c r="G52" s="5">
        <v>9079.0</v>
      </c>
      <c r="H52" s="5">
        <v>185922.0</v>
      </c>
      <c r="I52" s="5">
        <v>10319.0</v>
      </c>
      <c r="J52" s="5">
        <v>185783.0</v>
      </c>
      <c r="K52" s="5">
        <v>10527.0</v>
      </c>
      <c r="L52" s="5">
        <v>185939.0</v>
      </c>
      <c r="M52" s="5">
        <v>10565.0</v>
      </c>
      <c r="N52" s="5">
        <v>186560.0</v>
      </c>
      <c r="O52" s="5">
        <v>10899.0</v>
      </c>
      <c r="P52" s="5">
        <v>186408.0</v>
      </c>
      <c r="Q52" s="5">
        <v>11827.0</v>
      </c>
      <c r="R52" s="5">
        <v>185484.0</v>
      </c>
      <c r="S52" s="5">
        <v>12663.0</v>
      </c>
      <c r="T52" s="5">
        <v>187059.0</v>
      </c>
      <c r="U52" s="5">
        <v>12487.0</v>
      </c>
      <c r="V52" s="5">
        <v>188398.0</v>
      </c>
      <c r="W52" s="5">
        <v>13852.0</v>
      </c>
      <c r="X52" s="5">
        <v>190511.0</v>
      </c>
      <c r="Y52" s="5">
        <v>12993.0</v>
      </c>
      <c r="Z52" s="5">
        <v>191499.0</v>
      </c>
      <c r="AA52" s="5">
        <v>15065.0</v>
      </c>
      <c r="AB52" s="5">
        <v>191561.0</v>
      </c>
    </row>
    <row r="53">
      <c r="A53" s="3" t="s">
        <v>79</v>
      </c>
      <c r="B53" s="3" t="str">
        <f>VLOOKUP(A53,'Примечания'!$A:$B,2,0)</f>
        <v>СЗФО</v>
      </c>
      <c r="C53" s="4">
        <f t="shared" ref="C53:D53" si="52">E53+G53+I53+K53+M53+O53+Q53+S53+U53+W53+Y53+AA53</f>
        <v>132800</v>
      </c>
      <c r="D53" s="4">
        <f t="shared" si="52"/>
        <v>2250925</v>
      </c>
      <c r="E53" s="5">
        <v>7896.0</v>
      </c>
      <c r="F53" s="5">
        <v>189766.0</v>
      </c>
      <c r="G53" s="5">
        <v>8242.0</v>
      </c>
      <c r="H53" s="5">
        <v>187952.0</v>
      </c>
      <c r="I53" s="5">
        <v>9600.0</v>
      </c>
      <c r="J53" s="5">
        <v>187041.0</v>
      </c>
      <c r="K53" s="5">
        <v>9904.0</v>
      </c>
      <c r="L53" s="5">
        <v>186573.0</v>
      </c>
      <c r="M53" s="5">
        <v>10467.0</v>
      </c>
      <c r="N53" s="5">
        <v>186707.0</v>
      </c>
      <c r="O53" s="5">
        <v>10740.0</v>
      </c>
      <c r="P53" s="5">
        <v>185990.0</v>
      </c>
      <c r="Q53" s="5">
        <v>12179.0</v>
      </c>
      <c r="R53" s="5">
        <v>185265.0</v>
      </c>
      <c r="S53" s="5">
        <v>12906.0</v>
      </c>
      <c r="T53" s="5">
        <v>187449.0</v>
      </c>
      <c r="U53" s="5">
        <v>12063.0</v>
      </c>
      <c r="V53" s="5">
        <v>188115.0</v>
      </c>
      <c r="W53" s="5">
        <v>12755.0</v>
      </c>
      <c r="X53" s="5">
        <v>189078.0</v>
      </c>
      <c r="Y53" s="5">
        <v>12105.0</v>
      </c>
      <c r="Z53" s="5">
        <v>189085.0</v>
      </c>
      <c r="AA53" s="5">
        <v>13943.0</v>
      </c>
      <c r="AB53" s="5">
        <v>187904.0</v>
      </c>
    </row>
    <row r="54">
      <c r="A54" s="3" t="s">
        <v>80</v>
      </c>
      <c r="B54" s="3" t="str">
        <f>VLOOKUP(A54,'Примечания'!$A:$B,2,0)</f>
        <v>УФО</v>
      </c>
      <c r="C54" s="4">
        <f t="shared" ref="C54:D54" si="53">E54+G54+I54+K54+M54+O54+Q54+S54+U54+W54+Y54+AA54</f>
        <v>132358</v>
      </c>
      <c r="D54" s="4">
        <f t="shared" si="53"/>
        <v>3021897</v>
      </c>
      <c r="E54" s="5">
        <v>7783.0</v>
      </c>
      <c r="F54" s="5">
        <v>254028.0</v>
      </c>
      <c r="G54" s="5">
        <v>8318.0</v>
      </c>
      <c r="H54" s="5">
        <v>252531.0</v>
      </c>
      <c r="I54" s="5">
        <v>9103.0</v>
      </c>
      <c r="J54" s="5">
        <v>250771.0</v>
      </c>
      <c r="K54" s="5">
        <v>9425.0</v>
      </c>
      <c r="L54" s="5">
        <v>250133.0</v>
      </c>
      <c r="M54" s="5">
        <v>10001.0</v>
      </c>
      <c r="N54" s="5">
        <v>250041.0</v>
      </c>
      <c r="O54" s="5">
        <v>11065.0</v>
      </c>
      <c r="P54" s="5">
        <v>249662.0</v>
      </c>
      <c r="Q54" s="5">
        <v>12380.0</v>
      </c>
      <c r="R54" s="5">
        <v>249013.0</v>
      </c>
      <c r="S54" s="5">
        <v>13241.0</v>
      </c>
      <c r="T54" s="5">
        <v>251531.0</v>
      </c>
      <c r="U54" s="5">
        <v>11750.0</v>
      </c>
      <c r="V54" s="5">
        <v>252502.0</v>
      </c>
      <c r="W54" s="5">
        <v>12998.0</v>
      </c>
      <c r="X54" s="5">
        <v>254154.0</v>
      </c>
      <c r="Y54" s="5">
        <v>11999.0</v>
      </c>
      <c r="Z54" s="5">
        <v>254795.0</v>
      </c>
      <c r="AA54" s="5">
        <v>14295.0</v>
      </c>
      <c r="AB54" s="5">
        <v>252736.0</v>
      </c>
    </row>
    <row r="55">
      <c r="A55" s="3" t="s">
        <v>81</v>
      </c>
      <c r="B55" s="3" t="str">
        <f>VLOOKUP(A55,'Примечания'!$A:$B,2,0)</f>
        <v>ЦФО</v>
      </c>
      <c r="C55" s="4">
        <f t="shared" ref="C55:D55" si="54">E55+G55+I55+K55+M55+O55+Q55+S55+U55+W55+Y55+AA55</f>
        <v>131571</v>
      </c>
      <c r="D55" s="4">
        <f t="shared" si="54"/>
        <v>2204219</v>
      </c>
      <c r="E55" s="5">
        <v>7899.0</v>
      </c>
      <c r="F55" s="5">
        <v>182755.0</v>
      </c>
      <c r="G55" s="5">
        <v>8493.0</v>
      </c>
      <c r="H55" s="5">
        <v>181927.0</v>
      </c>
      <c r="I55" s="5">
        <v>9480.0</v>
      </c>
      <c r="J55" s="5">
        <v>181531.0</v>
      </c>
      <c r="K55" s="5">
        <v>9593.0</v>
      </c>
      <c r="L55" s="5">
        <v>181528.0</v>
      </c>
      <c r="M55" s="5">
        <v>10050.0</v>
      </c>
      <c r="N55" s="5">
        <v>182113.0</v>
      </c>
      <c r="O55" s="5">
        <v>10382.0</v>
      </c>
      <c r="P55" s="5">
        <v>182397.0</v>
      </c>
      <c r="Q55" s="5">
        <v>11331.0</v>
      </c>
      <c r="R55" s="5">
        <v>182094.0</v>
      </c>
      <c r="S55" s="5">
        <v>12103.0</v>
      </c>
      <c r="T55" s="5">
        <v>183884.0</v>
      </c>
      <c r="U55" s="5">
        <v>11584.0</v>
      </c>
      <c r="V55" s="5">
        <v>184895.0</v>
      </c>
      <c r="W55" s="5">
        <v>12948.0</v>
      </c>
      <c r="X55" s="5">
        <v>186083.0</v>
      </c>
      <c r="Y55" s="5">
        <v>12775.0</v>
      </c>
      <c r="Z55" s="5">
        <v>187546.0</v>
      </c>
      <c r="AA55" s="5">
        <v>14933.0</v>
      </c>
      <c r="AB55" s="5">
        <v>187466.0</v>
      </c>
    </row>
    <row r="56">
      <c r="A56" s="3" t="s">
        <v>82</v>
      </c>
      <c r="B56" s="3" t="str">
        <f>VLOOKUP(A56,'Примечания'!$A:$B,2,0)</f>
        <v>ЦФО</v>
      </c>
      <c r="C56" s="4">
        <f t="shared" ref="C56:D56" si="55">E56+G56+I56+K56+M56+O56+Q56+S56+U56+W56+Y56+AA56</f>
        <v>131355</v>
      </c>
      <c r="D56" s="4">
        <f t="shared" si="55"/>
        <v>2277412</v>
      </c>
      <c r="E56" s="5">
        <v>7508.0</v>
      </c>
      <c r="F56" s="5">
        <v>188478.0</v>
      </c>
      <c r="G56" s="5">
        <v>7986.0</v>
      </c>
      <c r="H56" s="5">
        <v>187473.0</v>
      </c>
      <c r="I56" s="5">
        <v>9153.0</v>
      </c>
      <c r="J56" s="5">
        <v>186752.0</v>
      </c>
      <c r="K56" s="5">
        <v>9319.0</v>
      </c>
      <c r="L56" s="5">
        <v>186569.0</v>
      </c>
      <c r="M56" s="5">
        <v>10049.0</v>
      </c>
      <c r="N56" s="5">
        <v>187346.0</v>
      </c>
      <c r="O56" s="5">
        <v>10361.0</v>
      </c>
      <c r="P56" s="5">
        <v>187609.0</v>
      </c>
      <c r="Q56" s="5">
        <v>11379.0</v>
      </c>
      <c r="R56" s="5">
        <v>187649.0</v>
      </c>
      <c r="S56" s="5">
        <v>12111.0</v>
      </c>
      <c r="T56" s="5">
        <v>189849.0</v>
      </c>
      <c r="U56" s="5">
        <v>12024.0</v>
      </c>
      <c r="V56" s="5">
        <v>191406.0</v>
      </c>
      <c r="W56" s="5">
        <v>13449.0</v>
      </c>
      <c r="X56" s="5">
        <v>193484.0</v>
      </c>
      <c r="Y56" s="5">
        <v>13127.0</v>
      </c>
      <c r="Z56" s="5">
        <v>195483.0</v>
      </c>
      <c r="AA56" s="5">
        <v>14889.0</v>
      </c>
      <c r="AB56" s="5">
        <v>195314.0</v>
      </c>
    </row>
    <row r="57">
      <c r="A57" s="3" t="s">
        <v>83</v>
      </c>
      <c r="B57" s="3" t="str">
        <f>VLOOKUP(A57,'Примечания'!$A:$B,2,0)</f>
        <v>ЮФО</v>
      </c>
      <c r="C57" s="4">
        <f t="shared" ref="C57:D57" si="56">E57+G57+I57+K57+M57+O57+Q57+S57+U57+W57+Y57+AA57</f>
        <v>127386</v>
      </c>
      <c r="D57" s="4">
        <f t="shared" si="56"/>
        <v>2533890</v>
      </c>
      <c r="E57" s="5">
        <v>7564.0</v>
      </c>
      <c r="F57" s="5">
        <v>206804.0</v>
      </c>
      <c r="G57" s="5">
        <v>7860.0</v>
      </c>
      <c r="H57" s="5">
        <v>206323.0</v>
      </c>
      <c r="I57" s="5">
        <v>9223.0</v>
      </c>
      <c r="J57" s="5">
        <v>206640.0</v>
      </c>
      <c r="K57" s="5">
        <v>9022.0</v>
      </c>
      <c r="L57" s="5">
        <v>207050.0</v>
      </c>
      <c r="M57" s="5">
        <v>10147.0</v>
      </c>
      <c r="N57" s="5">
        <v>208785.0</v>
      </c>
      <c r="O57" s="5">
        <v>10029.0</v>
      </c>
      <c r="P57" s="5">
        <v>209341.0</v>
      </c>
      <c r="Q57" s="5">
        <v>11077.0</v>
      </c>
      <c r="R57" s="5">
        <v>209017.0</v>
      </c>
      <c r="S57" s="5">
        <v>11861.0</v>
      </c>
      <c r="T57" s="5">
        <v>211677.0</v>
      </c>
      <c r="U57" s="5">
        <v>11166.0</v>
      </c>
      <c r="V57" s="5">
        <v>213334.0</v>
      </c>
      <c r="W57" s="5">
        <v>12633.0</v>
      </c>
      <c r="X57" s="5">
        <v>216198.0</v>
      </c>
      <c r="Y57" s="5">
        <v>11980.0</v>
      </c>
      <c r="Z57" s="5">
        <v>218096.0</v>
      </c>
      <c r="AA57" s="5">
        <v>14824.0</v>
      </c>
      <c r="AB57" s="5">
        <v>220625.0</v>
      </c>
    </row>
    <row r="58">
      <c r="A58" s="3" t="s">
        <v>84</v>
      </c>
      <c r="B58" s="3" t="str">
        <f>VLOOKUP(A58,'Примечания'!$A:$B,2,0)</f>
        <v>СКФО</v>
      </c>
      <c r="C58" s="4">
        <f t="shared" ref="C58:D58" si="57">E58+G58+I58+K58+M58+O58+Q58+S58+U58+W58+Y58+AA58</f>
        <v>120680</v>
      </c>
      <c r="D58" s="4">
        <f t="shared" si="57"/>
        <v>2372236</v>
      </c>
      <c r="E58" s="5">
        <v>8723.0</v>
      </c>
      <c r="F58" s="5">
        <v>198842.0</v>
      </c>
      <c r="G58" s="5">
        <v>8745.0</v>
      </c>
      <c r="H58" s="5">
        <v>198390.0</v>
      </c>
      <c r="I58" s="5">
        <v>9507.0</v>
      </c>
      <c r="J58" s="5">
        <v>198085.0</v>
      </c>
      <c r="K58" s="5">
        <v>9120.0</v>
      </c>
      <c r="L58" s="5">
        <v>197542.0</v>
      </c>
      <c r="M58" s="5">
        <v>9546.0</v>
      </c>
      <c r="N58" s="5">
        <v>197864.0</v>
      </c>
      <c r="O58" s="5">
        <v>9530.0</v>
      </c>
      <c r="P58" s="5">
        <v>197559.0</v>
      </c>
      <c r="Q58" s="5">
        <v>10029.0</v>
      </c>
      <c r="R58" s="5">
        <v>196235.0</v>
      </c>
      <c r="S58" s="5">
        <v>10629.0</v>
      </c>
      <c r="T58" s="5">
        <v>196974.0</v>
      </c>
      <c r="U58" s="5">
        <v>10135.0</v>
      </c>
      <c r="V58" s="5">
        <v>197250.0</v>
      </c>
      <c r="W58" s="5">
        <v>11254.0</v>
      </c>
      <c r="X58" s="5">
        <v>197840.0</v>
      </c>
      <c r="Y58" s="5">
        <v>10634.0</v>
      </c>
      <c r="Z58" s="5">
        <v>198089.0</v>
      </c>
      <c r="AA58" s="5">
        <v>12828.0</v>
      </c>
      <c r="AB58" s="5">
        <v>197566.0</v>
      </c>
    </row>
    <row r="59">
      <c r="A59" s="3" t="s">
        <v>85</v>
      </c>
      <c r="B59" s="3" t="str">
        <f>VLOOKUP(A59,'Примечания'!$A:$B,2,0)</f>
        <v>СЗФО</v>
      </c>
      <c r="C59" s="4">
        <f t="shared" ref="C59:D59" si="58">E59+G59+I59+K59+M59+O59+Q59+S59+U59+W59+Y59+AA59</f>
        <v>117631</v>
      </c>
      <c r="D59" s="4">
        <f t="shared" si="58"/>
        <v>2159989</v>
      </c>
      <c r="E59" s="5">
        <v>6943.0</v>
      </c>
      <c r="F59" s="5">
        <v>182113.0</v>
      </c>
      <c r="G59" s="5">
        <v>7360.0</v>
      </c>
      <c r="H59" s="5">
        <v>180653.0</v>
      </c>
      <c r="I59" s="5">
        <v>8659.0</v>
      </c>
      <c r="J59" s="5">
        <v>179795.0</v>
      </c>
      <c r="K59" s="5">
        <v>8703.0</v>
      </c>
      <c r="L59" s="5">
        <v>179371.0</v>
      </c>
      <c r="M59" s="5">
        <v>9061.0</v>
      </c>
      <c r="N59" s="5">
        <v>179306.0</v>
      </c>
      <c r="O59" s="5">
        <v>9463.0</v>
      </c>
      <c r="P59" s="5">
        <v>178673.0</v>
      </c>
      <c r="Q59" s="5">
        <v>10649.0</v>
      </c>
      <c r="R59" s="5">
        <v>177993.0</v>
      </c>
      <c r="S59" s="5">
        <v>11407.0</v>
      </c>
      <c r="T59" s="5">
        <v>179458.0</v>
      </c>
      <c r="U59" s="5">
        <v>10514.0</v>
      </c>
      <c r="V59" s="5">
        <v>179926.0</v>
      </c>
      <c r="W59" s="5">
        <v>11203.0</v>
      </c>
      <c r="X59" s="5">
        <v>180765.0</v>
      </c>
      <c r="Y59" s="5">
        <v>10882.0</v>
      </c>
      <c r="Z59" s="5">
        <v>181064.0</v>
      </c>
      <c r="AA59" s="5">
        <v>12787.0</v>
      </c>
      <c r="AB59" s="5">
        <v>180872.0</v>
      </c>
    </row>
    <row r="60">
      <c r="A60" s="3" t="s">
        <v>86</v>
      </c>
      <c r="B60" s="3" t="str">
        <f>VLOOKUP(A60,'Примечания'!$A:$B,2,0)</f>
        <v>ДФО</v>
      </c>
      <c r="C60" s="4">
        <f t="shared" ref="C60:D60" si="59">E60+G60+I60+K60+M60+O60+Q60+S60+U60+W60+Y60+AA60</f>
        <v>117080</v>
      </c>
      <c r="D60" s="4">
        <f t="shared" si="59"/>
        <v>2572197</v>
      </c>
      <c r="E60" s="5">
        <v>6783.0</v>
      </c>
      <c r="F60" s="5">
        <v>212392.0</v>
      </c>
      <c r="G60" s="5">
        <v>7422.0</v>
      </c>
      <c r="H60" s="5">
        <v>212195.0</v>
      </c>
      <c r="I60" s="5">
        <v>8301.0</v>
      </c>
      <c r="J60" s="5">
        <v>212357.0</v>
      </c>
      <c r="K60" s="5">
        <v>8766.0</v>
      </c>
      <c r="L60" s="5">
        <v>212981.0</v>
      </c>
      <c r="M60" s="5">
        <v>9227.0</v>
      </c>
      <c r="N60" s="5">
        <v>214233.0</v>
      </c>
      <c r="O60" s="5">
        <v>9687.0</v>
      </c>
      <c r="P60" s="5">
        <v>214942.0</v>
      </c>
      <c r="Q60" s="5">
        <v>10731.0</v>
      </c>
      <c r="R60" s="5">
        <v>211493.0</v>
      </c>
      <c r="S60" s="5">
        <v>11004.0</v>
      </c>
      <c r="T60" s="5">
        <v>213939.0</v>
      </c>
      <c r="U60" s="5">
        <v>10468.0</v>
      </c>
      <c r="V60" s="5">
        <v>215380.0</v>
      </c>
      <c r="W60" s="5">
        <v>11355.0</v>
      </c>
      <c r="X60" s="5">
        <v>217387.0</v>
      </c>
      <c r="Y60" s="5">
        <v>10507.0</v>
      </c>
      <c r="Z60" s="5">
        <v>217980.0</v>
      </c>
      <c r="AA60" s="5">
        <v>12829.0</v>
      </c>
      <c r="AB60" s="5">
        <v>216918.0</v>
      </c>
    </row>
    <row r="61">
      <c r="A61" s="3" t="s">
        <v>87</v>
      </c>
      <c r="B61" s="3" t="str">
        <f>VLOOKUP(A61,'Примечания'!$A:$B,2,0)</f>
        <v>ЦФО</v>
      </c>
      <c r="C61" s="4">
        <f t="shared" ref="C61:D61" si="60">E61+G61+I61+K61+M61+O61+Q61+S61+U61+W61+Y61+AA61</f>
        <v>113071</v>
      </c>
      <c r="D61" s="4">
        <f t="shared" si="60"/>
        <v>1842282</v>
      </c>
      <c r="E61" s="5">
        <v>7076.0</v>
      </c>
      <c r="F61" s="5">
        <v>153553.0</v>
      </c>
      <c r="G61" s="5">
        <v>7690.0</v>
      </c>
      <c r="H61" s="5">
        <v>153062.0</v>
      </c>
      <c r="I61" s="5">
        <v>8538.0</v>
      </c>
      <c r="J61" s="5">
        <v>152983.0</v>
      </c>
      <c r="K61" s="5">
        <v>8131.0</v>
      </c>
      <c r="L61" s="5">
        <v>152371.0</v>
      </c>
      <c r="M61" s="5">
        <v>8893.0</v>
      </c>
      <c r="N61" s="5">
        <v>152896.0</v>
      </c>
      <c r="O61" s="5">
        <v>8912.0</v>
      </c>
      <c r="P61" s="5">
        <v>152594.0</v>
      </c>
      <c r="Q61" s="5">
        <v>9711.0</v>
      </c>
      <c r="R61" s="5">
        <v>151589.0</v>
      </c>
      <c r="S61" s="5">
        <v>10472.0</v>
      </c>
      <c r="T61" s="5">
        <v>153191.0</v>
      </c>
      <c r="U61" s="5">
        <v>9904.0</v>
      </c>
      <c r="V61" s="5">
        <v>153708.0</v>
      </c>
      <c r="W61" s="5">
        <v>10931.0</v>
      </c>
      <c r="X61" s="5">
        <v>155125.0</v>
      </c>
      <c r="Y61" s="5">
        <v>10577.0</v>
      </c>
      <c r="Z61" s="5">
        <v>155566.0</v>
      </c>
      <c r="AA61" s="5">
        <v>12236.0</v>
      </c>
      <c r="AB61" s="5">
        <v>155644.0</v>
      </c>
    </row>
    <row r="62">
      <c r="A62" s="3" t="s">
        <v>88</v>
      </c>
      <c r="B62" s="3" t="str">
        <f>VLOOKUP(A62,'Примечания'!$A:$B,2,0)</f>
        <v>ЦФО</v>
      </c>
      <c r="C62" s="4">
        <f t="shared" ref="C62:D62" si="61">E62+G62+I62+K62+M62+O62+Q62+S62+U62+W62+Y62+AA62</f>
        <v>108135</v>
      </c>
      <c r="D62" s="4">
        <f t="shared" si="61"/>
        <v>1684131</v>
      </c>
      <c r="E62" s="5">
        <v>6554.0</v>
      </c>
      <c r="F62" s="5">
        <v>139977.0</v>
      </c>
      <c r="G62" s="5">
        <v>7199.0</v>
      </c>
      <c r="H62" s="5">
        <v>139312.0</v>
      </c>
      <c r="I62" s="5">
        <v>8368.0</v>
      </c>
      <c r="J62" s="5">
        <v>139366.0</v>
      </c>
      <c r="K62" s="5">
        <v>8049.0</v>
      </c>
      <c r="L62" s="5">
        <v>139284.0</v>
      </c>
      <c r="M62" s="5">
        <v>8364.0</v>
      </c>
      <c r="N62" s="5">
        <v>139455.0</v>
      </c>
      <c r="O62" s="5">
        <v>8867.0</v>
      </c>
      <c r="P62" s="5">
        <v>139633.0</v>
      </c>
      <c r="Q62" s="5">
        <v>9296.0</v>
      </c>
      <c r="R62" s="5">
        <v>138930.0</v>
      </c>
      <c r="S62" s="5">
        <v>9841.0</v>
      </c>
      <c r="T62" s="5">
        <v>140253.0</v>
      </c>
      <c r="U62" s="5">
        <v>9792.0</v>
      </c>
      <c r="V62" s="5">
        <v>140780.0</v>
      </c>
      <c r="W62" s="5">
        <v>10357.0</v>
      </c>
      <c r="X62" s="5">
        <v>141838.0</v>
      </c>
      <c r="Y62" s="5">
        <v>10017.0</v>
      </c>
      <c r="Z62" s="5">
        <v>142575.0</v>
      </c>
      <c r="AA62" s="5">
        <v>11431.0</v>
      </c>
      <c r="AB62" s="5">
        <v>142728.0</v>
      </c>
    </row>
    <row r="63">
      <c r="A63" s="3" t="s">
        <v>89</v>
      </c>
      <c r="B63" s="3" t="str">
        <f>VLOOKUP(A63,'Примечания'!$A:$B,2,0)</f>
        <v>ЦФО</v>
      </c>
      <c r="C63" s="4">
        <f t="shared" ref="C63:D63" si="62">E63+G63+I63+K63+M63+O63+Q63+S63+U63+W63+Y63+AA63</f>
        <v>102235</v>
      </c>
      <c r="D63" s="4">
        <f t="shared" si="62"/>
        <v>1766591</v>
      </c>
      <c r="E63" s="5">
        <v>6161.0</v>
      </c>
      <c r="F63" s="5">
        <v>147262.0</v>
      </c>
      <c r="G63" s="5">
        <v>6513.0</v>
      </c>
      <c r="H63" s="5">
        <v>146364.0</v>
      </c>
      <c r="I63" s="5">
        <v>7695.0</v>
      </c>
      <c r="J63" s="5">
        <v>146207.0</v>
      </c>
      <c r="K63" s="5">
        <v>7466.0</v>
      </c>
      <c r="L63" s="5">
        <v>146016.0</v>
      </c>
      <c r="M63" s="5">
        <v>7764.0</v>
      </c>
      <c r="N63" s="5">
        <v>146488.0</v>
      </c>
      <c r="O63" s="5">
        <v>8038.0</v>
      </c>
      <c r="P63" s="5">
        <v>146334.0</v>
      </c>
      <c r="Q63" s="5">
        <v>9016.0</v>
      </c>
      <c r="R63" s="5">
        <v>145350.0</v>
      </c>
      <c r="S63" s="5">
        <v>9533.0</v>
      </c>
      <c r="T63" s="5">
        <v>147020.0</v>
      </c>
      <c r="U63" s="5">
        <v>9084.0</v>
      </c>
      <c r="V63" s="5">
        <v>147777.0</v>
      </c>
      <c r="W63" s="5">
        <v>9669.0</v>
      </c>
      <c r="X63" s="5">
        <v>148723.0</v>
      </c>
      <c r="Y63" s="5">
        <v>9621.0</v>
      </c>
      <c r="Z63" s="5">
        <v>149286.0</v>
      </c>
      <c r="AA63" s="5">
        <v>11675.0</v>
      </c>
      <c r="AB63" s="5">
        <v>149764.0</v>
      </c>
    </row>
    <row r="64">
      <c r="A64" s="3" t="s">
        <v>90</v>
      </c>
      <c r="B64" s="3" t="str">
        <f>VLOOKUP(A64,'Примечания'!$A:$B,2,0)</f>
        <v>УФО</v>
      </c>
      <c r="C64" s="4">
        <f t="shared" ref="C64:D64" si="63">E64+G64+I64+K64+M64+O64+Q64+S64+U64+W64+Y64+AA64</f>
        <v>100688</v>
      </c>
      <c r="D64" s="4">
        <f t="shared" si="63"/>
        <v>1861155</v>
      </c>
      <c r="E64" s="5">
        <v>5836.0</v>
      </c>
      <c r="F64" s="5">
        <v>153498.0</v>
      </c>
      <c r="G64" s="5">
        <v>6431.0</v>
      </c>
      <c r="H64" s="5">
        <v>152959.0</v>
      </c>
      <c r="I64" s="5">
        <v>7338.0</v>
      </c>
      <c r="J64" s="5">
        <v>152778.0</v>
      </c>
      <c r="K64" s="5">
        <v>7467.0</v>
      </c>
      <c r="L64" s="5">
        <v>153010.0</v>
      </c>
      <c r="M64" s="5">
        <v>7511.0</v>
      </c>
      <c r="N64" s="5">
        <v>153642.0</v>
      </c>
      <c r="O64" s="5">
        <v>7909.0</v>
      </c>
      <c r="P64" s="5">
        <v>153612.0</v>
      </c>
      <c r="Q64" s="5">
        <v>8832.0</v>
      </c>
      <c r="R64" s="5">
        <v>153163.0</v>
      </c>
      <c r="S64" s="5">
        <v>9498.0</v>
      </c>
      <c r="T64" s="5">
        <v>155031.0</v>
      </c>
      <c r="U64" s="5">
        <v>9053.0</v>
      </c>
      <c r="V64" s="5">
        <v>156395.0</v>
      </c>
      <c r="W64" s="5">
        <v>9872.0</v>
      </c>
      <c r="X64" s="5">
        <v>157958.0</v>
      </c>
      <c r="Y64" s="5">
        <v>9666.0</v>
      </c>
      <c r="Z64" s="5">
        <v>159089.0</v>
      </c>
      <c r="AA64" s="5">
        <v>11275.0</v>
      </c>
      <c r="AB64" s="5">
        <v>160020.0</v>
      </c>
    </row>
    <row r="65">
      <c r="A65" s="3" t="s">
        <v>91</v>
      </c>
      <c r="B65" s="3" t="str">
        <f>VLOOKUP(A65,'Примечания'!$A:$B,2,0)</f>
        <v>ДФО</v>
      </c>
      <c r="C65" s="4">
        <f t="shared" ref="C65:D65" si="64">E65+G65+I65+K65+M65+O65+Q65+S65+U65+W65+Y65+AA65</f>
        <v>95262</v>
      </c>
      <c r="D65" s="4">
        <f t="shared" si="64"/>
        <v>2027095</v>
      </c>
      <c r="E65" s="5">
        <v>5187.0</v>
      </c>
      <c r="F65" s="5">
        <v>166708.0</v>
      </c>
      <c r="G65" s="5">
        <v>5717.0</v>
      </c>
      <c r="H65" s="5">
        <v>165983.0</v>
      </c>
      <c r="I65" s="5">
        <v>6830.0</v>
      </c>
      <c r="J65" s="5">
        <v>166127.0</v>
      </c>
      <c r="K65" s="5">
        <v>7296.0</v>
      </c>
      <c r="L65" s="5">
        <v>166671.0</v>
      </c>
      <c r="M65" s="5">
        <v>7857.0</v>
      </c>
      <c r="N65" s="5">
        <v>167923.0</v>
      </c>
      <c r="O65" s="5">
        <v>8120.0</v>
      </c>
      <c r="P65" s="5">
        <v>168527.0</v>
      </c>
      <c r="Q65" s="5">
        <v>8730.0</v>
      </c>
      <c r="R65" s="5">
        <v>167926.0</v>
      </c>
      <c r="S65" s="5">
        <v>9232.0</v>
      </c>
      <c r="T65" s="5">
        <v>169733.0</v>
      </c>
      <c r="U65" s="5">
        <v>8624.0</v>
      </c>
      <c r="V65" s="5">
        <v>170726.0</v>
      </c>
      <c r="W65" s="5">
        <v>9146.0</v>
      </c>
      <c r="X65" s="5">
        <v>172299.0</v>
      </c>
      <c r="Y65" s="5">
        <v>8358.0</v>
      </c>
      <c r="Z65" s="5">
        <v>172542.0</v>
      </c>
      <c r="AA65" s="5">
        <v>10165.0</v>
      </c>
      <c r="AB65" s="5">
        <v>171930.0</v>
      </c>
    </row>
    <row r="66">
      <c r="A66" s="3" t="s">
        <v>92</v>
      </c>
      <c r="B66" s="3" t="str">
        <f>VLOOKUP(A66,'Примечания'!$A:$B,2,0)</f>
        <v>ЦФО</v>
      </c>
      <c r="C66" s="4">
        <f t="shared" ref="C66:D66" si="65">E66+G66+I66+K66+M66+O66+Q66+S66+U66+W66+Y66+AA66</f>
        <v>87423</v>
      </c>
      <c r="D66" s="4">
        <f t="shared" si="65"/>
        <v>1529536</v>
      </c>
      <c r="E66" s="5">
        <v>5389.0</v>
      </c>
      <c r="F66" s="5">
        <v>127495.0</v>
      </c>
      <c r="G66" s="5">
        <v>5763.0</v>
      </c>
      <c r="H66" s="5">
        <v>126880.0</v>
      </c>
      <c r="I66" s="5">
        <v>6783.0</v>
      </c>
      <c r="J66" s="5">
        <v>126862.0</v>
      </c>
      <c r="K66" s="5">
        <v>6681.0</v>
      </c>
      <c r="L66" s="5">
        <v>126864.0</v>
      </c>
      <c r="M66" s="5">
        <v>6774.0</v>
      </c>
      <c r="N66" s="5">
        <v>127253.0</v>
      </c>
      <c r="O66" s="5">
        <v>6903.0</v>
      </c>
      <c r="P66" s="5">
        <v>126992.0</v>
      </c>
      <c r="Q66" s="5">
        <v>7577.0</v>
      </c>
      <c r="R66" s="5">
        <v>126283.0</v>
      </c>
      <c r="S66" s="5">
        <v>7561.0</v>
      </c>
      <c r="T66" s="5">
        <v>127079.0</v>
      </c>
      <c r="U66" s="5">
        <v>7729.0</v>
      </c>
      <c r="V66" s="5">
        <v>127702.0</v>
      </c>
      <c r="W66" s="5">
        <v>8228.0</v>
      </c>
      <c r="X66" s="5">
        <v>128265.0</v>
      </c>
      <c r="Y66" s="5">
        <v>8265.0</v>
      </c>
      <c r="Z66" s="5">
        <v>128923.0</v>
      </c>
      <c r="AA66" s="5">
        <v>9770.0</v>
      </c>
      <c r="AB66" s="5">
        <v>128938.0</v>
      </c>
    </row>
    <row r="67">
      <c r="A67" s="3" t="s">
        <v>93</v>
      </c>
      <c r="B67" s="3" t="str">
        <f>VLOOKUP(A67,'Примечания'!$A:$B,2,0)</f>
        <v>СЗФО</v>
      </c>
      <c r="C67" s="4">
        <f t="shared" ref="C67:D67" si="66">E67+G67+I67+K67+M67+O67+Q67+S67+U67+W67+Y67+AA67</f>
        <v>87004</v>
      </c>
      <c r="D67" s="4">
        <f t="shared" si="66"/>
        <v>1544124</v>
      </c>
      <c r="E67" s="5">
        <v>5216.0</v>
      </c>
      <c r="F67" s="5">
        <v>129984.0</v>
      </c>
      <c r="G67" s="5">
        <v>5546.0</v>
      </c>
      <c r="H67" s="5">
        <v>129094.0</v>
      </c>
      <c r="I67" s="5">
        <v>6384.0</v>
      </c>
      <c r="J67" s="5">
        <v>128730.0</v>
      </c>
      <c r="K67" s="5">
        <v>6442.0</v>
      </c>
      <c r="L67" s="5">
        <v>128538.0</v>
      </c>
      <c r="M67" s="5">
        <v>6780.0</v>
      </c>
      <c r="N67" s="5">
        <v>128720.0</v>
      </c>
      <c r="O67" s="5">
        <v>6846.0</v>
      </c>
      <c r="P67" s="5">
        <v>127844.0</v>
      </c>
      <c r="Q67" s="5">
        <v>7570.0</v>
      </c>
      <c r="R67" s="5">
        <v>127147.0</v>
      </c>
      <c r="S67" s="5">
        <v>7980.0</v>
      </c>
      <c r="T67" s="5">
        <v>127842.0</v>
      </c>
      <c r="U67" s="5">
        <v>7961.0</v>
      </c>
      <c r="V67" s="5">
        <v>128277.0</v>
      </c>
      <c r="W67" s="5">
        <v>8504.0</v>
      </c>
      <c r="X67" s="5">
        <v>129134.0</v>
      </c>
      <c r="Y67" s="5">
        <v>8217.0</v>
      </c>
      <c r="Z67" s="5">
        <v>129425.0</v>
      </c>
      <c r="AA67" s="5">
        <v>9558.0</v>
      </c>
      <c r="AB67" s="5">
        <v>129389.0</v>
      </c>
    </row>
    <row r="68">
      <c r="A68" s="3" t="s">
        <v>94</v>
      </c>
      <c r="B68" s="3" t="str">
        <f>VLOOKUP(A68,'Примечания'!$A:$B,2,0)</f>
        <v>ПФО</v>
      </c>
      <c r="C68" s="4">
        <f t="shared" ref="C68:D68" si="67">E68+G68+I68+K68+M68+O68+Q68+S68+U68+W68+Y68+AA68</f>
        <v>86411</v>
      </c>
      <c r="D68" s="4">
        <f t="shared" si="67"/>
        <v>1479310</v>
      </c>
      <c r="E68" s="5">
        <v>5064.0</v>
      </c>
      <c r="F68" s="5">
        <v>121710.0</v>
      </c>
      <c r="G68" s="5">
        <v>5628.0</v>
      </c>
      <c r="H68" s="5">
        <v>121304.0</v>
      </c>
      <c r="I68" s="5">
        <v>6531.0</v>
      </c>
      <c r="J68" s="5">
        <v>121303.0</v>
      </c>
      <c r="K68" s="5">
        <v>5984.0</v>
      </c>
      <c r="L68" s="5">
        <v>121256.0</v>
      </c>
      <c r="M68" s="5">
        <v>6397.0</v>
      </c>
      <c r="N68" s="5">
        <v>121822.0</v>
      </c>
      <c r="O68" s="5">
        <v>6699.0</v>
      </c>
      <c r="P68" s="5">
        <v>122097.0</v>
      </c>
      <c r="Q68" s="5">
        <v>7368.0</v>
      </c>
      <c r="R68" s="5">
        <v>121747.0</v>
      </c>
      <c r="S68" s="5">
        <v>7879.0</v>
      </c>
      <c r="T68" s="5">
        <v>123405.0</v>
      </c>
      <c r="U68" s="5">
        <v>7551.0</v>
      </c>
      <c r="V68" s="5">
        <v>124198.0</v>
      </c>
      <c r="W68" s="5">
        <v>8711.0</v>
      </c>
      <c r="X68" s="5">
        <v>125783.0</v>
      </c>
      <c r="Y68" s="5">
        <v>8475.0</v>
      </c>
      <c r="Z68" s="5">
        <v>126962.0</v>
      </c>
      <c r="AA68" s="5">
        <v>10124.0</v>
      </c>
      <c r="AB68" s="5">
        <v>127723.0</v>
      </c>
    </row>
    <row r="69">
      <c r="A69" s="3" t="s">
        <v>95</v>
      </c>
      <c r="B69" s="3" t="str">
        <f>VLOOKUP(A69,'Примечания'!$A:$B,2,0)</f>
        <v>ПФО</v>
      </c>
      <c r="C69" s="4">
        <f t="shared" ref="C69:D69" si="68">E69+G69+I69+K69+M69+O69+Q69+S69+U69+W69+Y69+AA69</f>
        <v>83482</v>
      </c>
      <c r="D69" s="4">
        <f t="shared" si="68"/>
        <v>1360690</v>
      </c>
      <c r="E69" s="5">
        <v>4823.0</v>
      </c>
      <c r="F69" s="5">
        <v>111294.0</v>
      </c>
      <c r="G69" s="5">
        <v>5204.0</v>
      </c>
      <c r="H69" s="5">
        <v>110848.0</v>
      </c>
      <c r="I69" s="5">
        <v>6105.0</v>
      </c>
      <c r="J69" s="5">
        <v>110951.0</v>
      </c>
      <c r="K69" s="5">
        <v>6234.0</v>
      </c>
      <c r="L69" s="5">
        <v>111468.0</v>
      </c>
      <c r="M69" s="5">
        <v>6370.0</v>
      </c>
      <c r="N69" s="5">
        <v>112148.0</v>
      </c>
      <c r="O69" s="5">
        <v>6449.0</v>
      </c>
      <c r="P69" s="5">
        <v>112249.0</v>
      </c>
      <c r="Q69" s="5">
        <v>7031.0</v>
      </c>
      <c r="R69" s="5">
        <v>111991.0</v>
      </c>
      <c r="S69" s="5">
        <v>7229.0</v>
      </c>
      <c r="T69" s="5">
        <v>113283.0</v>
      </c>
      <c r="U69" s="5">
        <v>7301.0</v>
      </c>
      <c r="V69" s="5">
        <v>114301.0</v>
      </c>
      <c r="W69" s="5">
        <v>8322.0</v>
      </c>
      <c r="X69" s="5">
        <v>115934.0</v>
      </c>
      <c r="Y69" s="5">
        <v>8238.0</v>
      </c>
      <c r="Z69" s="5">
        <v>117440.0</v>
      </c>
      <c r="AA69" s="5">
        <v>10176.0</v>
      </c>
      <c r="AB69" s="5">
        <v>118783.0</v>
      </c>
    </row>
    <row r="70">
      <c r="A70" s="3" t="s">
        <v>96</v>
      </c>
      <c r="B70" s="3" t="str">
        <f>VLOOKUP(A70,'Примечания'!$A:$B,2,0)</f>
        <v>ЦФО</v>
      </c>
      <c r="C70" s="4">
        <f t="shared" ref="C70:D70" si="69">E70+G70+I70+K70+M70+O70+Q70+S70+U70+W70+Y70+AA70</f>
        <v>76421</v>
      </c>
      <c r="D70" s="4">
        <f t="shared" si="69"/>
        <v>1266397</v>
      </c>
      <c r="E70" s="5">
        <v>4416.0</v>
      </c>
      <c r="F70" s="5">
        <v>103861.0</v>
      </c>
      <c r="G70" s="5">
        <v>4648.0</v>
      </c>
      <c r="H70" s="5">
        <v>103326.0</v>
      </c>
      <c r="I70" s="5">
        <v>5721.0</v>
      </c>
      <c r="J70" s="5">
        <v>103712.0</v>
      </c>
      <c r="K70" s="5">
        <v>5330.0</v>
      </c>
      <c r="L70" s="5">
        <v>103834.0</v>
      </c>
      <c r="M70" s="5">
        <v>5388.0</v>
      </c>
      <c r="N70" s="5">
        <v>104289.0</v>
      </c>
      <c r="O70" s="5">
        <v>8448.0</v>
      </c>
      <c r="P70" s="5">
        <v>106701.0</v>
      </c>
      <c r="Q70" s="5">
        <v>6117.0</v>
      </c>
      <c r="R70" s="5">
        <v>105337.0</v>
      </c>
      <c r="S70" s="5">
        <v>6594.0</v>
      </c>
      <c r="T70" s="5">
        <v>106274.0</v>
      </c>
      <c r="U70" s="5">
        <v>7570.0</v>
      </c>
      <c r="V70" s="5">
        <v>106712.0</v>
      </c>
      <c r="W70" s="5">
        <v>6837.0</v>
      </c>
      <c r="X70" s="5">
        <v>107206.0</v>
      </c>
      <c r="Y70" s="5">
        <v>6694.0</v>
      </c>
      <c r="Z70" s="5">
        <v>107333.0</v>
      </c>
      <c r="AA70" s="5">
        <v>8658.0</v>
      </c>
      <c r="AB70" s="5">
        <v>107812.0</v>
      </c>
    </row>
    <row r="71">
      <c r="A71" s="3" t="s">
        <v>97</v>
      </c>
      <c r="B71" s="3" t="str">
        <f>VLOOKUP(A71,'Примечания'!$A:$B,2,0)</f>
        <v>СФО</v>
      </c>
      <c r="C71" s="4">
        <f t="shared" ref="C71:D71" si="70">E71+G71+I71+K71+M71+O71+Q71+S71+U71+W71+Y71+AA71</f>
        <v>74724</v>
      </c>
      <c r="D71" s="4">
        <f t="shared" si="70"/>
        <v>1415635</v>
      </c>
      <c r="E71" s="5">
        <v>4471.0</v>
      </c>
      <c r="F71" s="5">
        <v>117972.0</v>
      </c>
      <c r="G71" s="5">
        <v>4864.0</v>
      </c>
      <c r="H71" s="5">
        <v>117443.0</v>
      </c>
      <c r="I71" s="5">
        <v>5423.0</v>
      </c>
      <c r="J71" s="5">
        <v>117228.0</v>
      </c>
      <c r="K71" s="5">
        <v>5562.0</v>
      </c>
      <c r="L71" s="5">
        <v>117177.0</v>
      </c>
      <c r="M71" s="5">
        <v>5690.0</v>
      </c>
      <c r="N71" s="5">
        <v>117427.0</v>
      </c>
      <c r="O71" s="5">
        <v>6157.0</v>
      </c>
      <c r="P71" s="5">
        <v>117483.0</v>
      </c>
      <c r="Q71" s="5">
        <v>6472.0</v>
      </c>
      <c r="R71" s="5">
        <v>116935.0</v>
      </c>
      <c r="S71" s="5">
        <v>6946.0</v>
      </c>
      <c r="T71" s="5">
        <v>117878.0</v>
      </c>
      <c r="U71" s="5">
        <v>6504.0</v>
      </c>
      <c r="V71" s="5">
        <v>118331.0</v>
      </c>
      <c r="W71" s="5">
        <v>7016.0</v>
      </c>
      <c r="X71" s="5">
        <v>118852.0</v>
      </c>
      <c r="Y71" s="5">
        <v>6912.0</v>
      </c>
      <c r="Z71" s="5">
        <v>119150.0</v>
      </c>
      <c r="AA71" s="5">
        <v>8707.0</v>
      </c>
      <c r="AB71" s="5">
        <v>119759.0</v>
      </c>
    </row>
    <row r="72">
      <c r="A72" s="3" t="s">
        <v>98</v>
      </c>
      <c r="B72" s="3" t="str">
        <f>VLOOKUP(A72,'Примечания'!$A:$B,2,0)</f>
        <v>СЗФО</v>
      </c>
      <c r="C72" s="4">
        <f t="shared" ref="C72:D72" si="71">E72+G72+I72+K72+M72+O72+Q72+S72+U72+W72+Y72+AA72</f>
        <v>73055</v>
      </c>
      <c r="D72" s="4">
        <f t="shared" si="71"/>
        <v>1192038</v>
      </c>
      <c r="E72" s="5">
        <v>4528.0</v>
      </c>
      <c r="F72" s="5">
        <v>99582.0</v>
      </c>
      <c r="G72" s="5">
        <v>4811.0</v>
      </c>
      <c r="H72" s="5">
        <v>99170.0</v>
      </c>
      <c r="I72" s="5">
        <v>5463.0</v>
      </c>
      <c r="J72" s="5">
        <v>98971.0</v>
      </c>
      <c r="K72" s="5">
        <v>5403.0</v>
      </c>
      <c r="L72" s="5">
        <v>98838.0</v>
      </c>
      <c r="M72" s="5">
        <v>5665.0</v>
      </c>
      <c r="N72" s="5">
        <v>98986.0</v>
      </c>
      <c r="O72" s="5">
        <v>5647.0</v>
      </c>
      <c r="P72" s="5">
        <v>98499.0</v>
      </c>
      <c r="Q72" s="5">
        <v>6274.0</v>
      </c>
      <c r="R72" s="5">
        <v>98087.0</v>
      </c>
      <c r="S72" s="5">
        <v>6655.0</v>
      </c>
      <c r="T72" s="5">
        <v>98947.0</v>
      </c>
      <c r="U72" s="5">
        <v>6466.0</v>
      </c>
      <c r="V72" s="5">
        <v>99293.0</v>
      </c>
      <c r="W72" s="5">
        <v>7081.0</v>
      </c>
      <c r="X72" s="5">
        <v>100179.0</v>
      </c>
      <c r="Y72" s="5">
        <v>6859.0</v>
      </c>
      <c r="Z72" s="5">
        <v>100565.0</v>
      </c>
      <c r="AA72" s="5">
        <v>8203.0</v>
      </c>
      <c r="AB72" s="5">
        <v>100921.0</v>
      </c>
    </row>
    <row r="73">
      <c r="A73" s="3" t="s">
        <v>99</v>
      </c>
      <c r="B73" s="3" t="str">
        <f>VLOOKUP(A73,'Примечания'!$A:$B,2,0)</f>
        <v>СЗФО</v>
      </c>
      <c r="C73" s="4">
        <f t="shared" ref="C73:D73" si="72">E73+G73+I73+K73+M73+O73+Q73+S73+U73+W73+Y73+AA73</f>
        <v>72624</v>
      </c>
      <c r="D73" s="4">
        <f t="shared" si="72"/>
        <v>1220228</v>
      </c>
      <c r="E73" s="5">
        <v>4285.0</v>
      </c>
      <c r="F73" s="5">
        <v>101752.0</v>
      </c>
      <c r="G73" s="5">
        <v>4731.0</v>
      </c>
      <c r="H73" s="5">
        <v>101158.0</v>
      </c>
      <c r="I73" s="5">
        <v>5424.0</v>
      </c>
      <c r="J73" s="5">
        <v>101039.0</v>
      </c>
      <c r="K73" s="5">
        <v>5343.0</v>
      </c>
      <c r="L73" s="5">
        <v>100898.0</v>
      </c>
      <c r="M73" s="5">
        <v>5455.0</v>
      </c>
      <c r="N73" s="5">
        <v>100991.0</v>
      </c>
      <c r="O73" s="5">
        <v>5691.0</v>
      </c>
      <c r="P73" s="5">
        <v>100658.0</v>
      </c>
      <c r="Q73" s="5">
        <v>6241.0</v>
      </c>
      <c r="R73" s="5">
        <v>100215.0</v>
      </c>
      <c r="S73" s="5">
        <v>6829.0</v>
      </c>
      <c r="T73" s="5">
        <v>101250.0</v>
      </c>
      <c r="U73" s="5">
        <v>6673.0</v>
      </c>
      <c r="V73" s="5">
        <v>102003.0</v>
      </c>
      <c r="W73" s="5">
        <v>7014.0</v>
      </c>
      <c r="X73" s="5">
        <v>102820.0</v>
      </c>
      <c r="Y73" s="5">
        <v>7115.0</v>
      </c>
      <c r="Z73" s="5">
        <v>103536.0</v>
      </c>
      <c r="AA73" s="5">
        <v>7823.0</v>
      </c>
      <c r="AB73" s="5">
        <v>103908.0</v>
      </c>
    </row>
    <row r="74">
      <c r="A74" s="3" t="s">
        <v>100</v>
      </c>
      <c r="B74" s="3" t="str">
        <f>VLOOKUP(A74,'Примечания'!$A:$B,2,0)</f>
        <v>СКФО</v>
      </c>
      <c r="C74" s="4">
        <f t="shared" ref="C74:D74" si="73">E74+G74+I74+K74+M74+O74+Q74+S74+U74+W74+Y74+AA74</f>
        <v>68936</v>
      </c>
      <c r="D74" s="4">
        <f t="shared" si="73"/>
        <v>1356859</v>
      </c>
      <c r="E74" s="5">
        <v>4564.0</v>
      </c>
      <c r="F74" s="5">
        <v>113332.0</v>
      </c>
      <c r="G74" s="5">
        <v>4737.0</v>
      </c>
      <c r="H74" s="5">
        <v>113060.0</v>
      </c>
      <c r="I74" s="5">
        <v>5387.0</v>
      </c>
      <c r="J74" s="5">
        <v>112945.0</v>
      </c>
      <c r="K74" s="5">
        <v>5115.0</v>
      </c>
      <c r="L74" s="5">
        <v>112749.0</v>
      </c>
      <c r="M74" s="5">
        <v>5387.0</v>
      </c>
      <c r="N74" s="5">
        <v>113149.0</v>
      </c>
      <c r="O74" s="5">
        <v>5397.0</v>
      </c>
      <c r="P74" s="5">
        <v>112839.0</v>
      </c>
      <c r="Q74" s="5">
        <v>5725.0</v>
      </c>
      <c r="R74" s="5">
        <v>112103.0</v>
      </c>
      <c r="S74" s="5">
        <v>6212.0</v>
      </c>
      <c r="T74" s="5">
        <v>112820.0</v>
      </c>
      <c r="U74" s="5">
        <v>6030.0</v>
      </c>
      <c r="V74" s="5">
        <v>112986.0</v>
      </c>
      <c r="W74" s="5">
        <v>6235.0</v>
      </c>
      <c r="X74" s="5">
        <v>113286.0</v>
      </c>
      <c r="Y74" s="5">
        <v>6244.0</v>
      </c>
      <c r="Z74" s="5">
        <v>113683.0</v>
      </c>
      <c r="AA74" s="5">
        <v>7903.0</v>
      </c>
      <c r="AB74" s="5">
        <v>113907.0</v>
      </c>
    </row>
    <row r="75">
      <c r="A75" s="3" t="s">
        <v>101</v>
      </c>
      <c r="B75" s="3" t="str">
        <f>VLOOKUP(A75,'Примечания'!$A:$B,2,0)</f>
        <v>ЮФО</v>
      </c>
      <c r="C75" s="4">
        <f t="shared" ref="C75:D75" si="74">E75+G75+I75+K75+M75+O75+Q75+S75+U75+W75+Y75+AA75</f>
        <v>62186</v>
      </c>
      <c r="D75" s="4">
        <f t="shared" si="74"/>
        <v>1232978</v>
      </c>
      <c r="E75" s="5">
        <v>3650.0</v>
      </c>
      <c r="F75" s="5">
        <v>100424.0</v>
      </c>
      <c r="G75" s="5">
        <v>3843.0</v>
      </c>
      <c r="H75" s="5">
        <v>100199.0</v>
      </c>
      <c r="I75" s="5">
        <v>4600.0</v>
      </c>
      <c r="J75" s="5">
        <v>100394.0</v>
      </c>
      <c r="K75" s="5">
        <v>4447.0</v>
      </c>
      <c r="L75" s="5">
        <v>100515.0</v>
      </c>
      <c r="M75" s="5">
        <v>4589.0</v>
      </c>
      <c r="N75" s="5">
        <v>100843.0</v>
      </c>
      <c r="O75" s="5">
        <v>5019.0</v>
      </c>
      <c r="P75" s="5">
        <v>101451.0</v>
      </c>
      <c r="Q75" s="5">
        <v>5646.0</v>
      </c>
      <c r="R75" s="5">
        <v>102346.0</v>
      </c>
      <c r="S75" s="5">
        <v>5569.0</v>
      </c>
      <c r="T75" s="5">
        <v>103333.0</v>
      </c>
      <c r="U75" s="5">
        <v>5517.0</v>
      </c>
      <c r="V75" s="5">
        <v>104286.0</v>
      </c>
      <c r="W75" s="5">
        <v>5840.0</v>
      </c>
      <c r="X75" s="5">
        <v>105249.0</v>
      </c>
      <c r="Y75" s="5">
        <v>5694.0</v>
      </c>
      <c r="Z75" s="5">
        <v>105970.0</v>
      </c>
      <c r="AA75" s="5">
        <v>7772.0</v>
      </c>
      <c r="AB75" s="5">
        <v>107968.0</v>
      </c>
    </row>
    <row r="76">
      <c r="A76" s="3" t="s">
        <v>102</v>
      </c>
      <c r="B76" s="3" t="str">
        <f>VLOOKUP(A76,'Примечания'!$A:$B,2,0)</f>
        <v>ДФО</v>
      </c>
      <c r="C76" s="4">
        <f t="shared" ref="C76:D76" si="75">E76+G76+I76+K76+M76+O76+Q76+S76+U76+W76+Y76+AA76</f>
        <v>60737</v>
      </c>
      <c r="D76" s="4">
        <f t="shared" si="75"/>
        <v>1145397</v>
      </c>
      <c r="E76" s="5">
        <v>3711.0</v>
      </c>
      <c r="F76" s="5">
        <v>96159.0</v>
      </c>
      <c r="G76" s="5">
        <v>3987.0</v>
      </c>
      <c r="H76" s="5">
        <v>95778.0</v>
      </c>
      <c r="I76" s="5">
        <v>4471.0</v>
      </c>
      <c r="J76" s="5">
        <v>95579.0</v>
      </c>
      <c r="K76" s="5">
        <v>4509.0</v>
      </c>
      <c r="L76" s="5">
        <v>95234.0</v>
      </c>
      <c r="M76" s="5">
        <v>4827.0</v>
      </c>
      <c r="N76" s="5">
        <v>95432.0</v>
      </c>
      <c r="O76" s="5">
        <v>4756.0</v>
      </c>
      <c r="P76" s="5">
        <v>95113.0</v>
      </c>
      <c r="Q76" s="5">
        <v>5427.0</v>
      </c>
      <c r="R76" s="5">
        <v>94591.0</v>
      </c>
      <c r="S76" s="5">
        <v>5642.0</v>
      </c>
      <c r="T76" s="5">
        <v>95148.0</v>
      </c>
      <c r="U76" s="5">
        <v>5616.0</v>
      </c>
      <c r="V76" s="5">
        <v>95268.0</v>
      </c>
      <c r="W76" s="5">
        <v>6026.0</v>
      </c>
      <c r="X76" s="5">
        <v>95803.0</v>
      </c>
      <c r="Y76" s="5">
        <v>5594.0</v>
      </c>
      <c r="Z76" s="5">
        <v>95889.0</v>
      </c>
      <c r="AA76" s="5">
        <v>6171.0</v>
      </c>
      <c r="AB76" s="5">
        <v>95403.0</v>
      </c>
    </row>
    <row r="77">
      <c r="A77" s="3" t="s">
        <v>103</v>
      </c>
      <c r="B77" s="3" t="str">
        <f>VLOOKUP(A77,'Примечания'!$A:$B,2,0)</f>
        <v>СКФО</v>
      </c>
      <c r="C77" s="4">
        <f t="shared" ref="C77:D77" si="76">E77+G77+I77+K77+M77+O77+Q77+S77+U77+W77+Y77+AA77</f>
        <v>59834</v>
      </c>
      <c r="D77" s="4">
        <f t="shared" si="76"/>
        <v>1146512</v>
      </c>
      <c r="E77" s="5">
        <v>3839.0</v>
      </c>
      <c r="F77" s="5">
        <v>95449.0</v>
      </c>
      <c r="G77" s="5">
        <v>3785.0</v>
      </c>
      <c r="H77" s="5">
        <v>94908.0</v>
      </c>
      <c r="I77" s="5">
        <v>4588.0</v>
      </c>
      <c r="J77" s="5">
        <v>94878.0</v>
      </c>
      <c r="K77" s="5">
        <v>4552.0</v>
      </c>
      <c r="L77" s="5">
        <v>94902.0</v>
      </c>
      <c r="M77" s="5">
        <v>4671.0</v>
      </c>
      <c r="N77" s="5">
        <v>95188.0</v>
      </c>
      <c r="O77" s="5">
        <v>4633.0</v>
      </c>
      <c r="P77" s="5">
        <v>95091.0</v>
      </c>
      <c r="Q77" s="5">
        <v>5157.0</v>
      </c>
      <c r="R77" s="5">
        <v>94665.0</v>
      </c>
      <c r="S77" s="5">
        <v>5709.0</v>
      </c>
      <c r="T77" s="5">
        <v>95614.0</v>
      </c>
      <c r="U77" s="5">
        <v>5059.0</v>
      </c>
      <c r="V77" s="5">
        <v>95841.0</v>
      </c>
      <c r="W77" s="5">
        <v>5464.0</v>
      </c>
      <c r="X77" s="5">
        <v>96215.0</v>
      </c>
      <c r="Y77" s="5">
        <v>5818.0</v>
      </c>
      <c r="Z77" s="5">
        <v>96925.0</v>
      </c>
      <c r="AA77" s="5">
        <v>6559.0</v>
      </c>
      <c r="AB77" s="5">
        <v>96836.0</v>
      </c>
    </row>
    <row r="78">
      <c r="A78" s="3" t="s">
        <v>104</v>
      </c>
      <c r="B78" s="3" t="str">
        <f>VLOOKUP(A78,'Примечания'!$A:$B,2,0)</f>
        <v>ЮФО</v>
      </c>
      <c r="C78" s="4">
        <f t="shared" ref="C78:D78" si="77">E78+G78+I78+K78+M78+O78+Q78+S78+U78+W78+Y78+AA78</f>
        <v>59445</v>
      </c>
      <c r="D78" s="4">
        <f t="shared" si="77"/>
        <v>768425</v>
      </c>
      <c r="E78" s="5">
        <v>4173.0</v>
      </c>
      <c r="F78" s="5">
        <v>61951.0</v>
      </c>
      <c r="G78" s="5">
        <v>4459.0</v>
      </c>
      <c r="H78" s="5">
        <v>62201.0</v>
      </c>
      <c r="I78" s="5">
        <v>4692.0</v>
      </c>
      <c r="J78" s="5">
        <v>62231.0</v>
      </c>
      <c r="K78" s="5">
        <v>4467.0</v>
      </c>
      <c r="L78" s="5">
        <v>62242.0</v>
      </c>
      <c r="M78" s="5">
        <v>4369.0</v>
      </c>
      <c r="N78" s="5">
        <v>62603.0</v>
      </c>
      <c r="O78" s="5">
        <v>4304.0</v>
      </c>
      <c r="P78" s="5">
        <v>63011.0</v>
      </c>
      <c r="Q78" s="5">
        <v>4777.0</v>
      </c>
      <c r="R78" s="5">
        <v>63552.0</v>
      </c>
      <c r="S78" s="5">
        <v>4901.0</v>
      </c>
      <c r="T78" s="5">
        <v>64170.0</v>
      </c>
      <c r="U78" s="5">
        <v>4982.0</v>
      </c>
      <c r="V78" s="5">
        <v>64892.0</v>
      </c>
      <c r="W78" s="5">
        <v>5631.0</v>
      </c>
      <c r="X78" s="5">
        <v>65880.0</v>
      </c>
      <c r="Y78" s="5">
        <v>5712.0</v>
      </c>
      <c r="Z78" s="5">
        <v>67238.0</v>
      </c>
      <c r="AA78" s="5">
        <v>6978.0</v>
      </c>
      <c r="AB78" s="5">
        <v>68454.0</v>
      </c>
    </row>
    <row r="79">
      <c r="A79" s="3" t="s">
        <v>105</v>
      </c>
      <c r="B79" s="3" t="str">
        <f>VLOOKUP(A79,'Примечания'!$A:$B,2,0)</f>
        <v>ЮФО</v>
      </c>
      <c r="C79" s="4">
        <f t="shared" ref="C79:D79" si="78">E79+G79+I79+K79+M79+O79+Q79+S79+U79+W79+Y79+AA79</f>
        <v>52429</v>
      </c>
      <c r="D79" s="4">
        <f t="shared" si="78"/>
        <v>1048444</v>
      </c>
      <c r="E79" s="5">
        <v>2928.0</v>
      </c>
      <c r="F79" s="5">
        <v>83759.0</v>
      </c>
      <c r="G79" s="5">
        <v>2944.0</v>
      </c>
      <c r="H79" s="5">
        <v>83600.0</v>
      </c>
      <c r="I79" s="5">
        <v>3771.0</v>
      </c>
      <c r="J79" s="5">
        <v>84360.0</v>
      </c>
      <c r="K79" s="5">
        <v>3591.0</v>
      </c>
      <c r="L79" s="5">
        <v>84595.0</v>
      </c>
      <c r="M79" s="5">
        <v>3770.0</v>
      </c>
      <c r="N79" s="5">
        <v>85276.0</v>
      </c>
      <c r="O79" s="5">
        <v>3935.0</v>
      </c>
      <c r="P79" s="5">
        <v>85877.0</v>
      </c>
      <c r="Q79" s="5">
        <v>4480.0</v>
      </c>
      <c r="R79" s="5">
        <v>87032.0</v>
      </c>
      <c r="S79" s="5">
        <v>4891.0</v>
      </c>
      <c r="T79" s="5">
        <v>88320.0</v>
      </c>
      <c r="U79" s="5">
        <v>4715.0</v>
      </c>
      <c r="V79" s="5">
        <v>89343.0</v>
      </c>
      <c r="W79" s="5">
        <v>5242.0</v>
      </c>
      <c r="X79" s="5">
        <v>90630.0</v>
      </c>
      <c r="Y79" s="5">
        <v>5235.0</v>
      </c>
      <c r="Z79" s="5">
        <v>91857.0</v>
      </c>
      <c r="AA79" s="5">
        <v>6927.0</v>
      </c>
      <c r="AB79" s="5">
        <v>93795.0</v>
      </c>
    </row>
    <row r="80">
      <c r="A80" s="3" t="s">
        <v>106</v>
      </c>
      <c r="B80" s="3" t="str">
        <f>VLOOKUP(A80,'Примечания'!$A:$B,2,0)</f>
        <v>СКФО</v>
      </c>
      <c r="C80" s="4">
        <f t="shared" ref="C80:D80" si="79">E80+G80+I80+K80+M80+O80+Q80+S80+U80+W80+Y80+AA80</f>
        <v>49180</v>
      </c>
      <c r="D80" s="4">
        <f t="shared" si="79"/>
        <v>1016260</v>
      </c>
      <c r="E80" s="5">
        <v>3493.0</v>
      </c>
      <c r="F80" s="5">
        <v>86597.0</v>
      </c>
      <c r="G80" s="5">
        <v>3555.0</v>
      </c>
      <c r="H80" s="5">
        <v>85812.0</v>
      </c>
      <c r="I80" s="5">
        <v>3961.0</v>
      </c>
      <c r="J80" s="5">
        <v>85204.0</v>
      </c>
      <c r="K80" s="5">
        <v>3770.0</v>
      </c>
      <c r="L80" s="5">
        <v>89197.0</v>
      </c>
      <c r="M80" s="5">
        <v>4045.0</v>
      </c>
      <c r="N80" s="5">
        <v>88998.0</v>
      </c>
      <c r="O80" s="5">
        <v>3977.0</v>
      </c>
      <c r="P80" s="5">
        <v>84202.0</v>
      </c>
      <c r="Q80" s="5">
        <v>4360.0</v>
      </c>
      <c r="R80" s="5">
        <v>84008.0</v>
      </c>
      <c r="S80" s="5">
        <v>4260.0</v>
      </c>
      <c r="T80" s="5">
        <v>83598.0</v>
      </c>
      <c r="U80" s="5">
        <v>4304.0</v>
      </c>
      <c r="V80" s="5">
        <v>83122.0</v>
      </c>
      <c r="W80" s="5">
        <v>4342.0</v>
      </c>
      <c r="X80" s="5">
        <v>82584.0</v>
      </c>
      <c r="Y80" s="5">
        <v>4298.0</v>
      </c>
      <c r="Z80" s="5">
        <v>82105.0</v>
      </c>
      <c r="AA80" s="5">
        <v>4815.0</v>
      </c>
      <c r="AB80" s="5">
        <v>80833.0</v>
      </c>
    </row>
    <row r="81">
      <c r="A81" s="3" t="s">
        <v>107</v>
      </c>
      <c r="B81" s="3" t="str">
        <f>VLOOKUP(A81,'Примечания'!$A:$B,2,0)</f>
        <v>СФО</v>
      </c>
      <c r="C81" s="4">
        <f t="shared" ref="C81:D81" si="80">E81+G81+I81+K81+M81+O81+Q81+S81+U81+W81+Y81+AA81</f>
        <v>47947</v>
      </c>
      <c r="D81" s="4">
        <f t="shared" si="80"/>
        <v>1643189</v>
      </c>
      <c r="E81" s="5">
        <v>2844.0</v>
      </c>
      <c r="F81" s="5">
        <v>133359.0</v>
      </c>
      <c r="G81" s="5">
        <v>2845.0</v>
      </c>
      <c r="H81" s="5">
        <v>133217.0</v>
      </c>
      <c r="I81" s="5">
        <v>3442.0</v>
      </c>
      <c r="J81" s="5">
        <v>133583.0</v>
      </c>
      <c r="K81" s="5">
        <v>4584.0</v>
      </c>
      <c r="L81" s="5">
        <v>134996.0</v>
      </c>
      <c r="M81" s="5">
        <v>3868.0</v>
      </c>
      <c r="N81" s="5">
        <v>135830.0</v>
      </c>
      <c r="O81" s="5">
        <v>4058.0</v>
      </c>
      <c r="P81" s="5">
        <v>136552.0</v>
      </c>
      <c r="Q81" s="5">
        <v>4595.0</v>
      </c>
      <c r="R81" s="5">
        <v>137041.0</v>
      </c>
      <c r="S81" s="5">
        <v>4964.0</v>
      </c>
      <c r="T81" s="5">
        <v>138834.0</v>
      </c>
      <c r="U81" s="5">
        <v>3906.0</v>
      </c>
      <c r="V81" s="5">
        <v>139421.0</v>
      </c>
      <c r="W81" s="5">
        <v>4203.0</v>
      </c>
      <c r="X81" s="5">
        <v>140120.0</v>
      </c>
      <c r="Y81" s="5">
        <v>3797.0</v>
      </c>
      <c r="Z81" s="5">
        <v>140215.0</v>
      </c>
      <c r="AA81" s="5">
        <v>4841.0</v>
      </c>
      <c r="AB81" s="5">
        <v>140021.0</v>
      </c>
    </row>
    <row r="82">
      <c r="A82" s="3" t="s">
        <v>108</v>
      </c>
      <c r="B82" s="3" t="str">
        <f>VLOOKUP(A82,'Примечания'!$A:$B,2,0)</f>
        <v>СКФО</v>
      </c>
      <c r="C82" s="4">
        <f t="shared" ref="C82:D82" si="81">E82+G82+I82+K82+M82+O82+Q82+S82+U82+W82+Y82+AA82</f>
        <v>38345</v>
      </c>
      <c r="D82" s="4">
        <f t="shared" si="81"/>
        <v>863918</v>
      </c>
      <c r="E82" s="5">
        <v>2431.0</v>
      </c>
      <c r="F82" s="5">
        <v>72238.0</v>
      </c>
      <c r="G82" s="5">
        <v>2411.0</v>
      </c>
      <c r="H82" s="5">
        <v>71866.0</v>
      </c>
      <c r="I82" s="5">
        <v>2871.0</v>
      </c>
      <c r="J82" s="5">
        <v>71635.0</v>
      </c>
      <c r="K82" s="5">
        <v>2870.0</v>
      </c>
      <c r="L82" s="5">
        <v>71529.0</v>
      </c>
      <c r="M82" s="5">
        <v>2979.0</v>
      </c>
      <c r="N82" s="5">
        <v>71599.0</v>
      </c>
      <c r="O82" s="5">
        <v>3039.0</v>
      </c>
      <c r="P82" s="5">
        <v>71580.0</v>
      </c>
      <c r="Q82" s="5">
        <v>3330.0</v>
      </c>
      <c r="R82" s="5">
        <v>71399.0</v>
      </c>
      <c r="S82" s="5">
        <v>3726.0</v>
      </c>
      <c r="T82" s="5">
        <v>72054.0</v>
      </c>
      <c r="U82" s="5">
        <v>3406.0</v>
      </c>
      <c r="V82" s="5">
        <v>72280.0</v>
      </c>
      <c r="W82" s="5">
        <v>3647.0</v>
      </c>
      <c r="X82" s="5">
        <v>72518.0</v>
      </c>
      <c r="Y82" s="5">
        <v>3434.0</v>
      </c>
      <c r="Z82" s="5">
        <v>72598.0</v>
      </c>
      <c r="AA82" s="5">
        <v>4201.0</v>
      </c>
      <c r="AB82" s="5">
        <v>72622.0</v>
      </c>
    </row>
    <row r="83">
      <c r="A83" s="3" t="s">
        <v>109</v>
      </c>
      <c r="B83" s="3" t="str">
        <f>VLOOKUP(A83,'Примечания'!$A:$B,2,0)</f>
        <v>ДФО</v>
      </c>
      <c r="C83" s="4">
        <f t="shared" ref="C83:D83" si="82">E83+G83+I83+K83+M83+O83+Q83+S83+U83+W83+Y83+AA83</f>
        <v>30862</v>
      </c>
      <c r="D83" s="4">
        <f t="shared" si="82"/>
        <v>590549</v>
      </c>
      <c r="E83" s="5">
        <v>1852.0</v>
      </c>
      <c r="F83" s="5">
        <v>49941.0</v>
      </c>
      <c r="G83" s="5">
        <v>1886.0</v>
      </c>
      <c r="H83" s="5">
        <v>49647.0</v>
      </c>
      <c r="I83" s="5">
        <v>2127.0</v>
      </c>
      <c r="J83" s="5">
        <v>49409.0</v>
      </c>
      <c r="K83" s="5">
        <v>2301.0</v>
      </c>
      <c r="L83" s="5">
        <v>49321.0</v>
      </c>
      <c r="M83" s="5">
        <v>2422.0</v>
      </c>
      <c r="N83" s="5">
        <v>49441.0</v>
      </c>
      <c r="O83" s="5">
        <v>2560.0</v>
      </c>
      <c r="P83" s="5">
        <v>49208.0</v>
      </c>
      <c r="Q83" s="5">
        <v>2774.0</v>
      </c>
      <c r="R83" s="5">
        <v>48558.0</v>
      </c>
      <c r="S83" s="5">
        <v>2945.0</v>
      </c>
      <c r="T83" s="5">
        <v>48822.0</v>
      </c>
      <c r="U83" s="5">
        <v>2818.0</v>
      </c>
      <c r="V83" s="5">
        <v>48969.0</v>
      </c>
      <c r="W83" s="5">
        <v>3024.0</v>
      </c>
      <c r="X83" s="5">
        <v>49203.0</v>
      </c>
      <c r="Y83" s="5">
        <v>2915.0</v>
      </c>
      <c r="Z83" s="5">
        <v>49241.0</v>
      </c>
      <c r="AA83" s="5">
        <v>3238.0</v>
      </c>
      <c r="AB83" s="5">
        <v>48789.0</v>
      </c>
    </row>
    <row r="84">
      <c r="A84" s="3" t="s">
        <v>110</v>
      </c>
      <c r="B84" s="3" t="str">
        <f>VLOOKUP(A84,'Примечания'!$A:$B,2,0)</f>
        <v>СФО</v>
      </c>
      <c r="C84" s="4">
        <f t="shared" ref="C84:D84" si="83">E84+G84+I84+K84+M84+O84+Q84+S84+U84+W84+Y84+AA84</f>
        <v>29337</v>
      </c>
      <c r="D84" s="4">
        <f t="shared" si="83"/>
        <v>508083</v>
      </c>
      <c r="E84" s="5">
        <v>1742.0</v>
      </c>
      <c r="F84" s="5">
        <v>41930.0</v>
      </c>
      <c r="G84" s="5">
        <v>1842.0</v>
      </c>
      <c r="H84" s="5">
        <v>41777.0</v>
      </c>
      <c r="I84" s="5">
        <v>2081.0</v>
      </c>
      <c r="J84" s="5">
        <v>41798.0</v>
      </c>
      <c r="K84" s="5">
        <v>2167.0</v>
      </c>
      <c r="L84" s="5">
        <v>41829.0</v>
      </c>
      <c r="M84" s="5">
        <v>2228.0</v>
      </c>
      <c r="N84" s="5">
        <v>41983.0</v>
      </c>
      <c r="O84" s="5">
        <v>3084.0</v>
      </c>
      <c r="P84" s="5">
        <v>42723.0</v>
      </c>
      <c r="Q84" s="5">
        <v>2565.0</v>
      </c>
      <c r="R84" s="5">
        <v>42258.0</v>
      </c>
      <c r="S84" s="5">
        <v>2711.0</v>
      </c>
      <c r="T84" s="5">
        <v>42408.0</v>
      </c>
      <c r="U84" s="5">
        <v>2492.0</v>
      </c>
      <c r="V84" s="5">
        <v>42562.0</v>
      </c>
      <c r="W84" s="5">
        <v>2699.0</v>
      </c>
      <c r="X84" s="5">
        <v>42792.0</v>
      </c>
      <c r="Y84" s="5">
        <v>2717.0</v>
      </c>
      <c r="Z84" s="5">
        <v>43001.0</v>
      </c>
      <c r="AA84" s="5">
        <v>3009.0</v>
      </c>
      <c r="AB84" s="5">
        <v>43022.0</v>
      </c>
    </row>
    <row r="85">
      <c r="A85" s="3" t="s">
        <v>111</v>
      </c>
      <c r="B85" s="3" t="str">
        <f>VLOOKUP(A85,'Примечания'!$A:$B,2,0)</f>
        <v>ДФО</v>
      </c>
      <c r="C85" s="4">
        <f t="shared" ref="C85:D85" si="84">E85+G85+I85+K85+M85+O85+Q85+S85+U85+W85+Y85+AA85</f>
        <v>17997</v>
      </c>
      <c r="D85" s="4">
        <f t="shared" si="84"/>
        <v>340084</v>
      </c>
      <c r="E85" s="5">
        <v>1059.0</v>
      </c>
      <c r="F85" s="5">
        <v>28520.0</v>
      </c>
      <c r="G85" s="5">
        <v>1212.0</v>
      </c>
      <c r="H85" s="5">
        <v>28462.0</v>
      </c>
      <c r="I85" s="5">
        <v>1362.0</v>
      </c>
      <c r="J85" s="5">
        <v>28438.0</v>
      </c>
      <c r="K85" s="5">
        <v>1365.0</v>
      </c>
      <c r="L85" s="5">
        <v>28373.0</v>
      </c>
      <c r="M85" s="5">
        <v>1392.0</v>
      </c>
      <c r="N85" s="5">
        <v>28364.0</v>
      </c>
      <c r="O85" s="5">
        <v>1403.0</v>
      </c>
      <c r="P85" s="5">
        <v>28197.0</v>
      </c>
      <c r="Q85" s="5">
        <v>1636.0</v>
      </c>
      <c r="R85" s="5">
        <v>28011.0</v>
      </c>
      <c r="S85" s="5">
        <v>1686.0</v>
      </c>
      <c r="T85" s="5">
        <v>28260.0</v>
      </c>
      <c r="U85" s="5">
        <v>1577.0</v>
      </c>
      <c r="V85" s="5">
        <v>28334.0</v>
      </c>
      <c r="W85" s="5">
        <v>1710.0</v>
      </c>
      <c r="X85" s="5">
        <v>28389.0</v>
      </c>
      <c r="Y85" s="5">
        <v>1615.0</v>
      </c>
      <c r="Z85" s="5">
        <v>28415.0</v>
      </c>
      <c r="AA85" s="5">
        <v>1980.0</v>
      </c>
      <c r="AB85" s="5">
        <v>28321.0</v>
      </c>
    </row>
    <row r="86">
      <c r="A86" s="3" t="s">
        <v>112</v>
      </c>
      <c r="B86" s="3" t="str">
        <f>VLOOKUP(A86,'Примечания'!$A:$B,2,0)</f>
        <v>ДФО</v>
      </c>
      <c r="C86" s="4">
        <f t="shared" ref="C86:D86" si="85">E86+G86+I86+K86+M86+O86+Q86+S86+U86+W86+Y86+AA86</f>
        <v>10941</v>
      </c>
      <c r="D86" s="4">
        <f t="shared" si="85"/>
        <v>240590</v>
      </c>
      <c r="E86" s="5">
        <v>609.0</v>
      </c>
      <c r="F86" s="5">
        <v>20323.0</v>
      </c>
      <c r="G86" s="5">
        <v>612.0</v>
      </c>
      <c r="H86" s="5">
        <v>20144.0</v>
      </c>
      <c r="I86" s="5">
        <v>670.0</v>
      </c>
      <c r="J86" s="5">
        <v>19961.0</v>
      </c>
      <c r="K86" s="5">
        <v>778.0</v>
      </c>
      <c r="L86" s="5">
        <v>19835.0</v>
      </c>
      <c r="M86" s="5">
        <v>876.0</v>
      </c>
      <c r="N86" s="5">
        <v>19891.0</v>
      </c>
      <c r="O86" s="5">
        <v>988.0</v>
      </c>
      <c r="P86" s="5">
        <v>19954.0</v>
      </c>
      <c r="Q86" s="5">
        <v>1141.0</v>
      </c>
      <c r="R86" s="5">
        <v>19875.0</v>
      </c>
      <c r="S86" s="5">
        <v>1224.0</v>
      </c>
      <c r="T86" s="5">
        <v>20106.0</v>
      </c>
      <c r="U86" s="5">
        <v>967.0</v>
      </c>
      <c r="V86" s="5">
        <v>20144.0</v>
      </c>
      <c r="W86" s="5">
        <v>1021.0</v>
      </c>
      <c r="X86" s="5">
        <v>20205.0</v>
      </c>
      <c r="Y86" s="5">
        <v>997.0</v>
      </c>
      <c r="Z86" s="5">
        <v>20248.0</v>
      </c>
      <c r="AA86" s="5">
        <v>1058.0</v>
      </c>
      <c r="AB86" s="5">
        <v>19904.0</v>
      </c>
    </row>
    <row r="87">
      <c r="A87" s="3" t="s">
        <v>113</v>
      </c>
      <c r="B87" s="3" t="str">
        <f>VLOOKUP(A87,'Примечания'!$A:$B,2,0)</f>
        <v>СКФО</v>
      </c>
      <c r="C87" s="4">
        <f t="shared" ref="C87:D87" si="86">E87+G87+I87+K87+M87+O87+Q87+S87+U87+W87+Y87+AA87</f>
        <v>10785</v>
      </c>
      <c r="D87" s="4">
        <f t="shared" si="86"/>
        <v>193280</v>
      </c>
      <c r="E87" s="5">
        <v>772.0</v>
      </c>
      <c r="F87" s="5">
        <v>17056.0</v>
      </c>
      <c r="G87" s="5">
        <v>780.0</v>
      </c>
      <c r="H87" s="5">
        <v>16888.0</v>
      </c>
      <c r="I87" s="5">
        <v>919.0</v>
      </c>
      <c r="J87" s="5">
        <v>16770.0</v>
      </c>
      <c r="K87" s="5">
        <v>809.0</v>
      </c>
      <c r="L87" s="5">
        <v>16519.0</v>
      </c>
      <c r="M87" s="5">
        <v>839.0</v>
      </c>
      <c r="N87" s="5">
        <v>16432.0</v>
      </c>
      <c r="O87" s="5">
        <v>828.0</v>
      </c>
      <c r="P87" s="5">
        <v>16190.0</v>
      </c>
      <c r="Q87" s="5">
        <v>930.0</v>
      </c>
      <c r="R87" s="5">
        <v>16074.0</v>
      </c>
      <c r="S87" s="5">
        <v>912.0</v>
      </c>
      <c r="T87" s="5">
        <v>15843.0</v>
      </c>
      <c r="U87" s="5">
        <v>979.0</v>
      </c>
      <c r="V87" s="5">
        <v>15735.0</v>
      </c>
      <c r="W87" s="5">
        <v>968.0</v>
      </c>
      <c r="X87" s="5">
        <v>15441.0</v>
      </c>
      <c r="Y87" s="5">
        <v>953.0</v>
      </c>
      <c r="Z87" s="5">
        <v>15278.0</v>
      </c>
      <c r="AA87" s="5">
        <v>1096.0</v>
      </c>
      <c r="AB87" s="5">
        <v>15054.0</v>
      </c>
    </row>
    <row r="88">
      <c r="A88" s="3" t="s">
        <v>114</v>
      </c>
      <c r="B88" s="3" t="str">
        <f>VLOOKUP(A88,'Примечания'!$A:$B,2,0)</f>
        <v>СЗФО</v>
      </c>
      <c r="C88" s="4">
        <f t="shared" ref="C88:D88" si="87">E88+G88+I88+K88+M88+O88+Q88+S88+U88+W88+Y88+AA88</f>
        <v>6841</v>
      </c>
      <c r="D88" s="4">
        <f t="shared" si="87"/>
        <v>145427</v>
      </c>
      <c r="E88" s="5">
        <v>382.0</v>
      </c>
      <c r="F88" s="5">
        <v>12252.0</v>
      </c>
      <c r="G88" s="5">
        <v>423.0</v>
      </c>
      <c r="H88" s="5">
        <v>12180.0</v>
      </c>
      <c r="I88" s="5">
        <v>512.0</v>
      </c>
      <c r="J88" s="5">
        <v>12143.0</v>
      </c>
      <c r="K88" s="5">
        <v>489.0</v>
      </c>
      <c r="L88" s="5">
        <v>12077.0</v>
      </c>
      <c r="M88" s="5">
        <v>469.0</v>
      </c>
      <c r="N88" s="5">
        <v>12019.0</v>
      </c>
      <c r="O88" s="5">
        <v>594.0</v>
      </c>
      <c r="P88" s="5">
        <v>12003.0</v>
      </c>
      <c r="Q88" s="5">
        <v>656.0</v>
      </c>
      <c r="R88" s="5">
        <v>12011.0</v>
      </c>
      <c r="S88" s="5">
        <v>680.0</v>
      </c>
      <c r="T88" s="5">
        <v>12102.0</v>
      </c>
      <c r="U88" s="5">
        <v>654.0</v>
      </c>
      <c r="V88" s="5">
        <v>12165.0</v>
      </c>
      <c r="W88" s="5">
        <v>643.0</v>
      </c>
      <c r="X88" s="5">
        <v>12197.0</v>
      </c>
      <c r="Y88" s="5">
        <v>602.0</v>
      </c>
      <c r="Z88" s="5">
        <v>12165.0</v>
      </c>
      <c r="AA88" s="5">
        <v>737.0</v>
      </c>
      <c r="AB88" s="5">
        <v>12113.0</v>
      </c>
    </row>
    <row r="89">
      <c r="A89" s="6" t="s">
        <v>115</v>
      </c>
      <c r="B89" s="7"/>
      <c r="C89" s="8">
        <f t="shared" ref="C89:D89" si="88">E89+G89+I89+K89+M89+O89+Q89+S89+U89+W89+Y89+AA89</f>
        <v>22924505</v>
      </c>
      <c r="D89" s="8">
        <f t="shared" si="88"/>
        <v>421207421</v>
      </c>
      <c r="E89" s="4">
        <v>1386982.0</v>
      </c>
      <c r="F89" s="4">
        <v>3.476682E7</v>
      </c>
      <c r="G89" s="4">
        <v>1490467.0</v>
      </c>
      <c r="H89" s="4">
        <v>3.4656777E7</v>
      </c>
      <c r="I89" s="4">
        <v>1705169.0</v>
      </c>
      <c r="J89" s="4">
        <v>3.46524E7</v>
      </c>
      <c r="K89" s="4">
        <v>1715099.0</v>
      </c>
      <c r="L89" s="4">
        <v>3.4685101E7</v>
      </c>
      <c r="M89" s="4">
        <v>1761900.0</v>
      </c>
      <c r="N89" s="4">
        <v>3.4815608E7</v>
      </c>
      <c r="O89" s="4">
        <v>1815716.0</v>
      </c>
      <c r="P89" s="4">
        <v>3.4837725E7</v>
      </c>
      <c r="Q89" s="4">
        <v>1971050.0</v>
      </c>
      <c r="R89" s="4">
        <v>3.4792201E7</v>
      </c>
      <c r="S89" s="4">
        <v>2085008.0</v>
      </c>
      <c r="T89" s="4">
        <v>3.5110119E7</v>
      </c>
      <c r="U89" s="4">
        <v>2041947.0</v>
      </c>
      <c r="V89" s="4">
        <v>3.5339043E7</v>
      </c>
      <c r="W89" s="4">
        <v>2219135.0</v>
      </c>
      <c r="X89" s="4">
        <v>3.565796E7</v>
      </c>
      <c r="Y89" s="4">
        <v>2169592.0</v>
      </c>
      <c r="Z89" s="4">
        <v>3.5863355E7</v>
      </c>
      <c r="AA89" s="4">
        <v>2562440.0</v>
      </c>
      <c r="AB89" s="4">
        <v>3.6030312E7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88"/>
    <col customWidth="1" min="6" max="6" width="22.5"/>
    <col customWidth="1" min="7" max="7" width="20.13"/>
    <col customWidth="1" min="8" max="8" width="23.25"/>
    <col customWidth="1" min="10" max="10" width="19.63"/>
    <col customWidth="1" min="11" max="11" width="15.38"/>
    <col customWidth="1" min="12" max="12" width="20.5"/>
    <col customWidth="1" min="14" max="14" width="18.0"/>
    <col customWidth="1" min="16" max="16" width="20.38"/>
    <col customWidth="1" min="17" max="17" width="14.0"/>
    <col customWidth="1" min="20" max="20" width="20.63"/>
    <col customWidth="1" min="21" max="21" width="16.75"/>
    <col customWidth="1" min="22" max="22" width="23.75"/>
    <col customWidth="1" min="23" max="23" width="14.63"/>
    <col customWidth="1" min="24" max="24" width="23.63"/>
    <col customWidth="1" min="25" max="25" width="17.38"/>
    <col customWidth="1" min="26" max="26" width="22.38"/>
    <col customWidth="1" min="28" max="28" width="23.75"/>
  </cols>
  <sheetData>
    <row r="1">
      <c r="A1" s="9" t="s">
        <v>116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>
      <c r="A2" s="9" t="s">
        <v>117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10" t="s">
        <v>118</v>
      </c>
      <c r="B3" s="10"/>
      <c r="C3" s="10" t="s">
        <v>119</v>
      </c>
      <c r="D3" s="10" t="s">
        <v>120</v>
      </c>
      <c r="E3" s="10" t="s">
        <v>121</v>
      </c>
      <c r="F3" s="10" t="s">
        <v>122</v>
      </c>
      <c r="G3" s="10" t="s">
        <v>123</v>
      </c>
      <c r="H3" s="10" t="s">
        <v>124</v>
      </c>
      <c r="I3" s="10" t="s">
        <v>125</v>
      </c>
      <c r="J3" s="10" t="s">
        <v>126</v>
      </c>
      <c r="K3" s="10" t="s">
        <v>127</v>
      </c>
      <c r="L3" s="10" t="s">
        <v>128</v>
      </c>
      <c r="M3" s="10" t="s">
        <v>129</v>
      </c>
      <c r="N3" s="10" t="s">
        <v>130</v>
      </c>
      <c r="O3" s="10" t="s">
        <v>131</v>
      </c>
      <c r="P3" s="10" t="s">
        <v>132</v>
      </c>
      <c r="Q3" s="10" t="s">
        <v>133</v>
      </c>
      <c r="R3" s="10" t="s">
        <v>134</v>
      </c>
      <c r="S3" s="10" t="s">
        <v>135</v>
      </c>
      <c r="T3" s="10" t="s">
        <v>136</v>
      </c>
      <c r="U3" s="10" t="s">
        <v>137</v>
      </c>
      <c r="V3" s="10" t="s">
        <v>138</v>
      </c>
      <c r="W3" s="10" t="s">
        <v>139</v>
      </c>
      <c r="X3" s="10" t="s">
        <v>140</v>
      </c>
      <c r="Y3" s="10" t="s">
        <v>141</v>
      </c>
      <c r="Z3" s="10" t="s">
        <v>142</v>
      </c>
      <c r="AA3" s="10" t="s">
        <v>143</v>
      </c>
      <c r="AB3" s="10" t="s">
        <v>144</v>
      </c>
    </row>
    <row r="4">
      <c r="A4" s="11" t="s">
        <v>145</v>
      </c>
      <c r="B4" s="11"/>
      <c r="C4" s="12">
        <f>AVERAGE('Кредиты физ лицам 2025 год по м'!C2:C88)</f>
        <v>275057.7586</v>
      </c>
      <c r="D4" s="12">
        <f>AVERAGE('Кредиты физ лицам 2025 год по м'!D2:D88)</f>
        <v>5080463</v>
      </c>
      <c r="E4" s="12">
        <f>AVERAGE('Кредиты физ лицам 2025 год по м'!E2:E88)</f>
        <v>16609.04598</v>
      </c>
      <c r="F4" s="12">
        <f>AVERAGE('Кредиты физ лицам 2025 год по м'!F2:F88)</f>
        <v>419382.092</v>
      </c>
      <c r="G4" s="12">
        <f>AVERAGE('Кредиты физ лицам 2025 год по м'!G2:G88)</f>
        <v>17859.06897</v>
      </c>
      <c r="H4" s="12">
        <f>AVERAGE('Кредиты физ лицам 2025 год по м'!H2:H88)</f>
        <v>418050.6322</v>
      </c>
      <c r="I4" s="12">
        <f>AVERAGE('Кредиты физ лицам 2025 год по м'!I2:I88)</f>
        <v>20427.72414</v>
      </c>
      <c r="J4" s="12">
        <f>AVERAGE('Кредиты физ лицам 2025 год по м'!J2:J88)</f>
        <v>417971.2299</v>
      </c>
      <c r="K4" s="12">
        <f>AVERAGE('Кредиты физ лицам 2025 год по м'!K2:K88)</f>
        <v>20601.52874</v>
      </c>
      <c r="L4" s="12">
        <f>AVERAGE('Кредиты физ лицам 2025 год по м'!L2:L88)</f>
        <v>418361.023</v>
      </c>
      <c r="M4" s="12">
        <f>AVERAGE('Кредиты физ лицам 2025 год по м'!M2:M88)</f>
        <v>21141.2069</v>
      </c>
      <c r="N4" s="12">
        <f>AVERAGE('Кредиты физ лицам 2025 год по м'!N2:N88)</f>
        <v>419928.3103</v>
      </c>
      <c r="O4" s="12">
        <f>AVERAGE('Кредиты физ лицам 2025 год по м'!O2:O88)</f>
        <v>21796.42529</v>
      </c>
      <c r="P4" s="12">
        <f>AVERAGE('Кредиты физ лицам 2025 год по м'!P2:P88)</f>
        <v>420196.046</v>
      </c>
      <c r="Q4" s="12">
        <f>AVERAGE('Кредиты физ лицам 2025 год по м'!Q2:Q88)</f>
        <v>23681.82759</v>
      </c>
      <c r="R4" s="12">
        <f>AVERAGE('Кредиты физ лицам 2025 год по м'!R2:R88)</f>
        <v>419631.7701</v>
      </c>
      <c r="S4" s="12">
        <f>AVERAGE('Кредиты физ лицам 2025 год по м'!S2:S88)</f>
        <v>25058.96552</v>
      </c>
      <c r="T4" s="12">
        <f>AVERAGE('Кредиты физ лицам 2025 год по м'!T2:T88)</f>
        <v>423504.9655</v>
      </c>
      <c r="U4" s="12">
        <f>AVERAGE('Кредиты физ лицам 2025 год по м'!U2:U88)</f>
        <v>24498.17241</v>
      </c>
      <c r="V4" s="12">
        <f>AVERAGE('Кредиты физ лицам 2025 год по м'!V2:V88)</f>
        <v>426246.2759</v>
      </c>
      <c r="W4" s="12">
        <f>AVERAGE('Кредиты физ лицам 2025 год по м'!W2:W88)</f>
        <v>26635.26437</v>
      </c>
      <c r="X4" s="12">
        <f>AVERAGE('Кредиты физ лицам 2025 год по м'!X2:X88)</f>
        <v>430095.5632</v>
      </c>
      <c r="Y4" s="12">
        <f>AVERAGE('Кредиты физ лицам 2025 год по м'!Y2:Y88)</f>
        <v>26025.35632</v>
      </c>
      <c r="Z4" s="12">
        <f>AVERAGE('Кредиты физ лицам 2025 год по м'!Z2:Z88)</f>
        <v>432572.5172</v>
      </c>
      <c r="AA4" s="12">
        <f>AVERAGE('Кредиты физ лицам 2025 год по м'!AA2:AA88)</f>
        <v>30723.17241</v>
      </c>
      <c r="AB4" s="12">
        <f>AVERAGE('Кредиты физ лицам 2025 год по м'!AB2:AB88)</f>
        <v>434522.5747</v>
      </c>
    </row>
    <row r="5">
      <c r="A5" s="11" t="s">
        <v>146</v>
      </c>
      <c r="B5" s="11"/>
      <c r="C5" s="12">
        <f>MEDIAN('Кредиты физ лицам 2025 год по м'!C2:C88)</f>
        <v>154469</v>
      </c>
      <c r="D5" s="12">
        <f>MEDIAN('Кредиты физ лицам 2025 год по м'!D2:D88)</f>
        <v>2753740</v>
      </c>
      <c r="E5" s="12">
        <f>MEDIAN('Кредиты физ лицам 2025 год по м'!E2:E88)</f>
        <v>9245</v>
      </c>
      <c r="F5" s="12">
        <f>MEDIAN('Кредиты физ лицам 2025 год по м'!F2:F88)</f>
        <v>227593</v>
      </c>
      <c r="G5" s="12">
        <f>MEDIAN('Кредиты физ лицам 2025 год по м'!G2:G88)</f>
        <v>10035</v>
      </c>
      <c r="H5" s="12">
        <f>MEDIAN('Кредиты физ лицам 2025 год по м'!H2:H88)</f>
        <v>226787</v>
      </c>
      <c r="I5" s="12">
        <f>MEDIAN('Кредиты физ лицам 2025 год по м'!I2:I88)</f>
        <v>11446</v>
      </c>
      <c r="J5" s="12">
        <f>MEDIAN('Кредиты физ лицам 2025 год по м'!J2:J88)</f>
        <v>226599</v>
      </c>
      <c r="K5" s="12">
        <f>MEDIAN('Кредиты физ лицам 2025 год по м'!K2:K88)</f>
        <v>11505</v>
      </c>
      <c r="L5" s="12">
        <f>MEDIAN('Кредиты физ лицам 2025 год по м'!L2:L88)</f>
        <v>226585</v>
      </c>
      <c r="M5" s="12">
        <f>MEDIAN('Кредиты физ лицам 2025 год по м'!M2:M88)</f>
        <v>11972</v>
      </c>
      <c r="N5" s="12">
        <f>MEDIAN('Кредиты физ лицам 2025 год по м'!N2:N88)</f>
        <v>227370</v>
      </c>
      <c r="O5" s="12">
        <f>MEDIAN('Кредиты физ лицам 2025 год по м'!O2:O88)</f>
        <v>12448</v>
      </c>
      <c r="P5" s="12">
        <f>MEDIAN('Кредиты физ лицам 2025 год по м'!P2:P88)</f>
        <v>227393</v>
      </c>
      <c r="Q5" s="12">
        <f>MEDIAN('Кредиты физ лицам 2025 год по м'!Q2:Q88)</f>
        <v>13642</v>
      </c>
      <c r="R5" s="12">
        <f>MEDIAN('Кредиты физ лицам 2025 год по м'!R2:R88)</f>
        <v>227203</v>
      </c>
      <c r="S5" s="12">
        <f>MEDIAN('Кредиты физ лицам 2025 год по м'!S2:S88)</f>
        <v>14332</v>
      </c>
      <c r="T5" s="12">
        <f>MEDIAN('Кредиты физ лицам 2025 год по м'!T2:T88)</f>
        <v>229432</v>
      </c>
      <c r="U5" s="12">
        <f>MEDIAN('Кредиты физ лицам 2025 год по м'!U2:U88)</f>
        <v>13749</v>
      </c>
      <c r="V5" s="12">
        <f>MEDIAN('Кредиты физ лицам 2025 год по м'!V2:V88)</f>
        <v>230834</v>
      </c>
      <c r="W5" s="12">
        <f>MEDIAN('Кредиты физ лицам 2025 год по м'!W2:W88)</f>
        <v>14803</v>
      </c>
      <c r="X5" s="12">
        <f>MEDIAN('Кредиты физ лицам 2025 год по м'!X2:X88)</f>
        <v>232854</v>
      </c>
      <c r="Y5" s="12">
        <f>MEDIAN('Кредиты физ лицам 2025 год по м'!Y2:Y88)</f>
        <v>14463</v>
      </c>
      <c r="Z5" s="12">
        <f>MEDIAN('Кредиты физ лицам 2025 год по м'!Z2:Z88)</f>
        <v>234681</v>
      </c>
      <c r="AA5" s="12">
        <f>MEDIAN('Кредиты физ лицам 2025 год по м'!AA2:AA88)</f>
        <v>17305</v>
      </c>
      <c r="AB5" s="12">
        <f>MEDIAN('Кредиты физ лицам 2025 год по м'!AB2:AB88)</f>
        <v>236726</v>
      </c>
    </row>
    <row r="6">
      <c r="A6" s="11" t="s">
        <v>147</v>
      </c>
      <c r="B6" s="11"/>
      <c r="C6" s="13" t="str">
        <f>IFERROR(MODE('Кредиты физ лицам 2025 год по м'!C2:C88),"Значения не повторяются")</f>
        <v>Значения не повторяются</v>
      </c>
      <c r="D6" s="13" t="str">
        <f>IFERROR(MODE('Кредиты физ лицам 2025 год по м'!D2:D88),"Значения не повторяются")</f>
        <v>Значения не повторяются</v>
      </c>
      <c r="E6" s="13" t="str">
        <f>IFERROR(MODE('Кредиты физ лицам 2025 год по м'!E2:E88),"Значения не повторяются")</f>
        <v>Значения не повторяются</v>
      </c>
      <c r="F6" s="13" t="str">
        <f>IFERROR(MODE('Кредиты физ лицам 2025 год по м'!F2:F88),"Значения не повторяются")</f>
        <v>Значения не повторяются</v>
      </c>
      <c r="G6" s="13" t="str">
        <f>IFERROR(MODE('Кредиты физ лицам 2025 год по м'!G2:G88),"Значения не повторяются")</f>
        <v>Значения не повторяются</v>
      </c>
      <c r="H6" s="13" t="str">
        <f>IFERROR(MODE('Кредиты физ лицам 2025 год по м'!H2:H88),"Значения не повторяются")</f>
        <v>Значения не повторяются</v>
      </c>
      <c r="I6" s="13" t="str">
        <f>IFERROR(MODE('Кредиты физ лицам 2025 год по м'!I2:I88),"Значения не повторяются")</f>
        <v>Значения не повторяются</v>
      </c>
      <c r="J6" s="13" t="str">
        <f>IFERROR(MODE('Кредиты физ лицам 2025 год по м'!J2:J88),"Значения не повторяются")</f>
        <v>Значения не повторяются</v>
      </c>
      <c r="K6" s="13" t="str">
        <f>IFERROR(MODE('Кредиты физ лицам 2025 год по м'!K2:K88),"Значения не повторяются")</f>
        <v>Значения не повторяются</v>
      </c>
      <c r="L6" s="13" t="str">
        <f>IFERROR(MODE('Кредиты физ лицам 2025 год по м'!L2:L88),"Значения не повторяются")</f>
        <v>Значения не повторяются</v>
      </c>
      <c r="M6" s="13" t="str">
        <f>IFERROR(MODE('Кредиты физ лицам 2025 год по м'!M2:M88),"Значения не повторяются")</f>
        <v>Значения не повторяются</v>
      </c>
      <c r="N6" s="13" t="str">
        <f>IFERROR(MODE('Кредиты физ лицам 2025 год по м'!N2:N88),"Значения не повторяются")</f>
        <v>Значения не повторяются</v>
      </c>
      <c r="O6" s="13" t="str">
        <f>IFERROR(MODE('Кредиты физ лицам 2025 год по м'!O2:O88),"Значения не повторяются")</f>
        <v>Значения не повторяются</v>
      </c>
      <c r="P6" s="13" t="str">
        <f>IFERROR(MODE('Кредиты физ лицам 2025 год по м'!P2:P88),"Значения не повторяются")</f>
        <v>Значения не повторяются</v>
      </c>
      <c r="Q6" s="13" t="str">
        <f>IFERROR(MODE('Кредиты физ лицам 2025 год по м'!Q2:Q88),"Значения не повторяются")</f>
        <v>Значения не повторяются</v>
      </c>
      <c r="R6" s="13" t="str">
        <f>IFERROR(MODE('Кредиты физ лицам 2025 год по м'!R2:R88),"Значения не повторяются")</f>
        <v>Значения не повторяются</v>
      </c>
      <c r="S6" s="13" t="str">
        <f>IFERROR(MODE('Кредиты физ лицам 2025 год по м'!S2:S88),"Значения не повторяются")</f>
        <v>Значения не повторяются</v>
      </c>
      <c r="T6" s="13" t="str">
        <f>IFERROR(MODE('Кредиты физ лицам 2025 год по м'!T2:T88),"Значения не повторяются")</f>
        <v>Значения не повторяются</v>
      </c>
      <c r="U6" s="13" t="str">
        <f>IFERROR(MODE('Кредиты физ лицам 2025 год по м'!U2:U88),"Значения не повторяются")</f>
        <v>Значения не повторяются</v>
      </c>
      <c r="V6" s="13" t="str">
        <f>IFERROR(MODE('Кредиты физ лицам 2025 год по м'!V2:V88),"Значения не повторяются")</f>
        <v>Значения не повторяются</v>
      </c>
      <c r="W6" s="13" t="str">
        <f>IFERROR(MODE('Кредиты физ лицам 2025 год по м'!W2:W88),"Значения не повторяются")</f>
        <v>Значения не повторяются</v>
      </c>
      <c r="X6" s="13" t="str">
        <f>IFERROR(MODE('Кредиты физ лицам 2025 год по м'!X2:X88),"Значения не повторяются")</f>
        <v>Значения не повторяются</v>
      </c>
      <c r="Y6" s="13" t="str">
        <f>IFERROR(MODE('Кредиты физ лицам 2025 год по м'!Y2:Y88),"Значения не повторяются")</f>
        <v>Значения не повторяются</v>
      </c>
      <c r="Z6" s="13" t="str">
        <f>IFERROR(MODE('Кредиты физ лицам 2025 год по м'!Z2:Z88),"Значения не повторяются")</f>
        <v>Значения не повторяются</v>
      </c>
      <c r="AA6" s="13" t="str">
        <f>IFERROR(MODE('Кредиты физ лицам 2025 год по м'!AA2:AA88),"Значения не повторяются")</f>
        <v>Значения не повторяются</v>
      </c>
      <c r="AB6" s="13" t="str">
        <f>IFERROR(MODE('Кредиты физ лицам 2025 год по м'!AB2:AB88),"Значения не повторяются")</f>
        <v>Значения не повторяются</v>
      </c>
    </row>
    <row r="7">
      <c r="A7" s="11" t="s">
        <v>148</v>
      </c>
      <c r="C7" s="12">
        <f>MIN('Кредиты физ лицам 2025 год по м'!C2:C88)</f>
        <v>6841</v>
      </c>
      <c r="D7" s="12">
        <f>MIN('Кредиты физ лицам 2025 год по м'!D2:D88)</f>
        <v>145427</v>
      </c>
      <c r="E7" s="12">
        <f>MIN('Кредиты физ лицам 2025 год по м'!E2:E88)</f>
        <v>382</v>
      </c>
      <c r="F7" s="12">
        <f>MIN('Кредиты физ лицам 2025 год по м'!F2:F88)</f>
        <v>12252</v>
      </c>
      <c r="G7" s="12">
        <f>MIN('Кредиты физ лицам 2025 год по м'!G2:G88)</f>
        <v>423</v>
      </c>
      <c r="H7" s="12">
        <f>MIN('Кредиты физ лицам 2025 год по м'!H2:H88)</f>
        <v>12180</v>
      </c>
      <c r="I7" s="12">
        <f>MIN('Кредиты физ лицам 2025 год по м'!I2:I88)</f>
        <v>512</v>
      </c>
      <c r="J7" s="12">
        <f>MIN('Кредиты физ лицам 2025 год по м'!J2:J88)</f>
        <v>12143</v>
      </c>
      <c r="K7" s="12">
        <f>MIN('Кредиты физ лицам 2025 год по м'!K2:K88)</f>
        <v>489</v>
      </c>
      <c r="L7" s="12">
        <f>MIN('Кредиты физ лицам 2025 год по м'!L2:L88)</f>
        <v>12077</v>
      </c>
      <c r="M7" s="12">
        <f>MIN('Кредиты физ лицам 2025 год по м'!M2:M88)</f>
        <v>469</v>
      </c>
      <c r="N7" s="12">
        <f>MIN('Кредиты физ лицам 2025 год по м'!N2:N88)</f>
        <v>12019</v>
      </c>
      <c r="O7" s="12">
        <f>MIN('Кредиты физ лицам 2025 год по м'!O2:O88)</f>
        <v>594</v>
      </c>
      <c r="P7" s="12">
        <f>MIN('Кредиты физ лицам 2025 год по м'!P2:P88)</f>
        <v>12003</v>
      </c>
      <c r="Q7" s="12">
        <f>MIN('Кредиты физ лицам 2025 год по м'!Q2:Q88)</f>
        <v>656</v>
      </c>
      <c r="R7" s="12">
        <f>MIN('Кредиты физ лицам 2025 год по м'!R2:R88)</f>
        <v>12011</v>
      </c>
      <c r="S7" s="12">
        <f>MIN('Кредиты физ лицам 2025 год по м'!S2:S88)</f>
        <v>680</v>
      </c>
      <c r="T7" s="12">
        <f>MIN('Кредиты физ лицам 2025 год по м'!T2:T88)</f>
        <v>12102</v>
      </c>
      <c r="U7" s="12">
        <f>MIN('Кредиты физ лицам 2025 год по м'!U2:U88)</f>
        <v>654</v>
      </c>
      <c r="V7" s="12">
        <f>MIN('Кредиты физ лицам 2025 год по м'!V2:V88)</f>
        <v>12165</v>
      </c>
      <c r="W7" s="12">
        <f>MIN('Кредиты физ лицам 2025 год по м'!W2:W88)</f>
        <v>643</v>
      </c>
      <c r="X7" s="12">
        <f>MIN('Кредиты физ лицам 2025 год по м'!X2:X88)</f>
        <v>12197</v>
      </c>
      <c r="Y7" s="12">
        <f>MIN('Кредиты физ лицам 2025 год по м'!Y2:Y88)</f>
        <v>602</v>
      </c>
      <c r="Z7" s="12">
        <f>MIN('Кредиты физ лицам 2025 год по м'!Z2:Z88)</f>
        <v>12165</v>
      </c>
      <c r="AA7" s="12">
        <f>MIN('Кредиты физ лицам 2025 год по м'!AA2:AA88)</f>
        <v>737</v>
      </c>
      <c r="AB7" s="12">
        <f>MIN('Кредиты физ лицам 2025 год по м'!AB2:AB88)</f>
        <v>12113</v>
      </c>
    </row>
    <row r="8">
      <c r="A8" s="11" t="s">
        <v>149</v>
      </c>
      <c r="C8" s="12">
        <f>MAX('Кредиты физ лицам 2025 год по м'!C2:C88)</f>
        <v>3007763</v>
      </c>
      <c r="D8" s="12">
        <f>MAX('Кредиты физ лицам 2025 год по м'!D2:D88)</f>
        <v>51422135</v>
      </c>
      <c r="E8" s="12">
        <f>MAX('Кредиты физ лицам 2025 год по м'!E2:E88)</f>
        <v>186725</v>
      </c>
      <c r="F8" s="12">
        <f>MAX('Кредиты физ лицам 2025 год по м'!F2:F88)</f>
        <v>4208666</v>
      </c>
      <c r="G8" s="12">
        <f>MAX('Кредиты физ лицам 2025 год по м'!G2:G88)</f>
        <v>205325</v>
      </c>
      <c r="H8" s="12">
        <f>MAX('Кредиты физ лицам 2025 год по м'!H2:H88)</f>
        <v>4209311</v>
      </c>
      <c r="I8" s="12">
        <f>MAX('Кредиты физ лицам 2025 год по м'!I2:I88)</f>
        <v>232037</v>
      </c>
      <c r="J8" s="12">
        <f>MAX('Кредиты физ лицам 2025 год по м'!J2:J88)</f>
        <v>4218232</v>
      </c>
      <c r="K8" s="12">
        <f>MAX('Кредиты физ лицам 2025 год по м'!K2:K88)</f>
        <v>231562</v>
      </c>
      <c r="L8" s="12">
        <f>MAX('Кредиты физ лицам 2025 год по м'!L2:L88)</f>
        <v>4223317</v>
      </c>
      <c r="M8" s="12">
        <f>MAX('Кредиты физ лицам 2025 год по м'!M2:M88)</f>
        <v>230539</v>
      </c>
      <c r="N8" s="12">
        <f>MAX('Кредиты физ лицам 2025 год по м'!N2:N88)</f>
        <v>4239331</v>
      </c>
      <c r="O8" s="12">
        <f>MAX('Кредиты физ лицам 2025 год по м'!O2:O88)</f>
        <v>235787</v>
      </c>
      <c r="P8" s="12">
        <f>MAX('Кредиты физ лицам 2025 год по м'!P2:P88)</f>
        <v>4248421</v>
      </c>
      <c r="Q8" s="12">
        <f>MAX('Кредиты физ лицам 2025 год по м'!Q2:Q88)</f>
        <v>252022</v>
      </c>
      <c r="R8" s="12">
        <f>MAX('Кредиты физ лицам 2025 год по м'!R2:R88)</f>
        <v>4265347</v>
      </c>
      <c r="S8" s="12">
        <f>MAX('Кредиты физ лицам 2025 год по м'!S2:S88)</f>
        <v>264348</v>
      </c>
      <c r="T8" s="12">
        <f>MAX('Кредиты физ лицам 2025 год по м'!T2:T88)</f>
        <v>4295817</v>
      </c>
      <c r="U8" s="12">
        <f>MAX('Кредиты физ лицам 2025 год по м'!U2:U88)</f>
        <v>269103</v>
      </c>
      <c r="V8" s="12">
        <f>MAX('Кредиты физ лицам 2025 год по м'!V2:V88)</f>
        <v>4333273</v>
      </c>
      <c r="W8" s="12">
        <f>MAX('Кредиты физ лицам 2025 год по м'!W2:W88)</f>
        <v>284678</v>
      </c>
      <c r="X8" s="12">
        <f>MAX('Кредиты физ лицам 2025 год по м'!X2:X88)</f>
        <v>4370468</v>
      </c>
      <c r="Y8" s="12">
        <f>MAX('Кредиты физ лицам 2025 год по м'!Y2:Y88)</f>
        <v>288975</v>
      </c>
      <c r="Z8" s="12">
        <f>MAX('Кредиты физ лицам 2025 год по м'!Z2:Z88)</f>
        <v>4400824</v>
      </c>
      <c r="AA8" s="12">
        <f>MAX('Кредиты физ лицам 2025 год по м'!AA2:AA88)</f>
        <v>326662</v>
      </c>
      <c r="AB8" s="12">
        <f>MAX('Кредиты физ лицам 2025 год по м'!AB2:AB88)</f>
        <v>4409128</v>
      </c>
    </row>
    <row r="9" ht="65.25" customHeight="1">
      <c r="A9" s="14" t="s">
        <v>150</v>
      </c>
    </row>
    <row r="10">
      <c r="A10" s="11"/>
      <c r="B10" s="11"/>
    </row>
    <row r="11">
      <c r="A11" s="11" t="s">
        <v>151</v>
      </c>
      <c r="B11" s="11"/>
    </row>
    <row r="12">
      <c r="A12" s="10" t="s">
        <v>152</v>
      </c>
      <c r="C12" s="10" t="s">
        <v>153</v>
      </c>
    </row>
    <row r="13">
      <c r="A13" s="15" t="s">
        <v>28</v>
      </c>
      <c r="B13" s="13">
        <v>3007763.0</v>
      </c>
      <c r="C13" s="15" t="s">
        <v>28</v>
      </c>
      <c r="D13" s="13">
        <v>5.1422135E7</v>
      </c>
    </row>
    <row r="14">
      <c r="A14" s="15" t="s">
        <v>29</v>
      </c>
      <c r="B14" s="13">
        <v>1804595.0</v>
      </c>
      <c r="C14" s="15" t="s">
        <v>29</v>
      </c>
      <c r="D14" s="13">
        <v>3.4616205E7</v>
      </c>
    </row>
    <row r="15">
      <c r="A15" s="15" t="s">
        <v>30</v>
      </c>
      <c r="B15" s="13">
        <v>1260287.0</v>
      </c>
      <c r="C15" s="15" t="s">
        <v>30</v>
      </c>
      <c r="D15" s="13">
        <v>2.2320395E7</v>
      </c>
    </row>
    <row r="16">
      <c r="A16" s="15" t="s">
        <v>31</v>
      </c>
      <c r="B16" s="13">
        <v>950912.0</v>
      </c>
      <c r="C16" s="15" t="s">
        <v>31</v>
      </c>
      <c r="D16" s="13">
        <v>1.8679592E7</v>
      </c>
    </row>
    <row r="17">
      <c r="A17" s="15" t="s">
        <v>32</v>
      </c>
      <c r="B17" s="13">
        <v>834483.0</v>
      </c>
      <c r="C17" s="15" t="s">
        <v>32</v>
      </c>
      <c r="D17" s="13">
        <v>1.7587655E7</v>
      </c>
    </row>
    <row r="18" ht="33.0" customHeight="1">
      <c r="A18" s="14" t="s">
        <v>154</v>
      </c>
    </row>
    <row r="20">
      <c r="A20" s="11" t="s">
        <v>155</v>
      </c>
      <c r="B20" s="11"/>
    </row>
    <row r="21">
      <c r="A21" s="10" t="s">
        <v>152</v>
      </c>
      <c r="C21" s="10" t="s">
        <v>153</v>
      </c>
    </row>
    <row r="22">
      <c r="A22" s="15" t="s">
        <v>156</v>
      </c>
      <c r="B22" s="13">
        <v>29337.0</v>
      </c>
      <c r="C22" s="15" t="s">
        <v>156</v>
      </c>
      <c r="D22" s="13">
        <v>508083.0</v>
      </c>
    </row>
    <row r="23">
      <c r="A23" s="15" t="s">
        <v>113</v>
      </c>
      <c r="B23" s="13">
        <v>17997.0</v>
      </c>
      <c r="C23" s="15" t="s">
        <v>113</v>
      </c>
      <c r="D23" s="13">
        <v>340084.0</v>
      </c>
    </row>
    <row r="24">
      <c r="A24" s="15" t="s">
        <v>112</v>
      </c>
      <c r="B24" s="13">
        <v>10941.0</v>
      </c>
      <c r="C24" s="15" t="s">
        <v>112</v>
      </c>
      <c r="D24" s="13">
        <v>240590.0</v>
      </c>
    </row>
    <row r="25">
      <c r="A25" s="15" t="s">
        <v>111</v>
      </c>
      <c r="B25" s="13">
        <v>10785.0</v>
      </c>
      <c r="C25" s="15" t="s">
        <v>111</v>
      </c>
      <c r="D25" s="13">
        <v>193280.0</v>
      </c>
    </row>
    <row r="26">
      <c r="A26" s="15" t="s">
        <v>110</v>
      </c>
      <c r="B26" s="13">
        <v>6841.0</v>
      </c>
      <c r="C26" s="15" t="s">
        <v>110</v>
      </c>
      <c r="D26" s="13">
        <v>145427.0</v>
      </c>
    </row>
    <row r="27" ht="40.5" customHeight="1">
      <c r="A27" s="14" t="s">
        <v>157</v>
      </c>
    </row>
    <row r="47">
      <c r="A47" s="14" t="s">
        <v>158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76">
      <c r="A76" s="14" t="s">
        <v>159</v>
      </c>
    </row>
    <row r="96">
      <c r="A96" s="14" t="s">
        <v>160</v>
      </c>
    </row>
  </sheetData>
  <mergeCells count="7">
    <mergeCell ref="A1:C1"/>
    <mergeCell ref="A9:H9"/>
    <mergeCell ref="A18:H18"/>
    <mergeCell ref="A27:H27"/>
    <mergeCell ref="A47:H47"/>
    <mergeCell ref="A76:H76"/>
    <mergeCell ref="A96:H9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1">
      <c r="A91" s="11" t="s">
        <v>174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1">
      <c r="A91" s="18" t="s">
        <v>176</v>
      </c>
    </row>
  </sheetData>
  <mergeCells count="1">
    <mergeCell ref="A91:K91"/>
  </mergeCell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2">
      <c r="A12" s="18" t="s">
        <v>186</v>
      </c>
    </row>
  </sheetData>
  <mergeCells count="1">
    <mergeCell ref="A12:I12"/>
  </mergeCell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</cols>
  <sheetData>
    <row r="1">
      <c r="A1" s="19" t="s">
        <v>0</v>
      </c>
      <c r="B1" s="10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59</v>
      </c>
      <c r="B2" s="15" t="s">
        <v>187</v>
      </c>
    </row>
    <row r="3">
      <c r="A3" s="21" t="s">
        <v>81</v>
      </c>
      <c r="B3" s="15" t="s">
        <v>187</v>
      </c>
    </row>
    <row r="4">
      <c r="A4" s="21" t="s">
        <v>65</v>
      </c>
      <c r="B4" s="15" t="s">
        <v>187</v>
      </c>
    </row>
    <row r="5">
      <c r="A5" s="21" t="s">
        <v>49</v>
      </c>
      <c r="B5" s="15" t="s">
        <v>187</v>
      </c>
    </row>
    <row r="6">
      <c r="A6" s="21" t="s">
        <v>88</v>
      </c>
      <c r="B6" s="15" t="s">
        <v>187</v>
      </c>
    </row>
    <row r="7">
      <c r="A7" s="21" t="s">
        <v>73</v>
      </c>
      <c r="B7" s="15" t="s">
        <v>187</v>
      </c>
    </row>
    <row r="8">
      <c r="A8" s="21" t="s">
        <v>96</v>
      </c>
      <c r="B8" s="15" t="s">
        <v>187</v>
      </c>
    </row>
    <row r="9">
      <c r="A9" s="21" t="s">
        <v>82</v>
      </c>
      <c r="B9" s="15" t="s">
        <v>187</v>
      </c>
    </row>
    <row r="10">
      <c r="A10" s="21" t="s">
        <v>78</v>
      </c>
      <c r="B10" s="15" t="s">
        <v>187</v>
      </c>
    </row>
    <row r="11">
      <c r="A11" s="21" t="s">
        <v>29</v>
      </c>
      <c r="B11" s="15" t="s">
        <v>187</v>
      </c>
    </row>
    <row r="12">
      <c r="A12" s="21" t="s">
        <v>92</v>
      </c>
      <c r="B12" s="15" t="s">
        <v>187</v>
      </c>
    </row>
    <row r="13">
      <c r="A13" s="21" t="s">
        <v>76</v>
      </c>
      <c r="B13" s="15" t="s">
        <v>187</v>
      </c>
    </row>
    <row r="14">
      <c r="A14" s="21" t="s">
        <v>87</v>
      </c>
      <c r="B14" s="15" t="s">
        <v>187</v>
      </c>
    </row>
    <row r="15">
      <c r="A15" s="21" t="s">
        <v>89</v>
      </c>
      <c r="B15" s="15" t="s">
        <v>187</v>
      </c>
    </row>
    <row r="16">
      <c r="A16" s="21" t="s">
        <v>68</v>
      </c>
      <c r="B16" s="15" t="s">
        <v>187</v>
      </c>
    </row>
    <row r="17">
      <c r="A17" s="21" t="s">
        <v>58</v>
      </c>
      <c r="B17" s="15" t="s">
        <v>187</v>
      </c>
    </row>
    <row r="18">
      <c r="A18" s="21" t="s">
        <v>67</v>
      </c>
      <c r="B18" s="15" t="s">
        <v>187</v>
      </c>
    </row>
    <row r="19">
      <c r="A19" s="22" t="s">
        <v>28</v>
      </c>
      <c r="B19" s="15" t="s">
        <v>187</v>
      </c>
    </row>
    <row r="20">
      <c r="A20" s="22" t="s">
        <v>101</v>
      </c>
      <c r="B20" s="15" t="s">
        <v>188</v>
      </c>
    </row>
    <row r="21">
      <c r="A21" s="21" t="s">
        <v>105</v>
      </c>
      <c r="B21" s="15" t="s">
        <v>188</v>
      </c>
    </row>
    <row r="22">
      <c r="A22" s="21" t="s">
        <v>60</v>
      </c>
      <c r="B22" s="15" t="s">
        <v>188</v>
      </c>
    </row>
    <row r="23">
      <c r="A23" s="21" t="s">
        <v>31</v>
      </c>
      <c r="B23" s="15" t="s">
        <v>188</v>
      </c>
    </row>
    <row r="24">
      <c r="A24" s="21" t="s">
        <v>83</v>
      </c>
      <c r="B24" s="15" t="s">
        <v>188</v>
      </c>
    </row>
    <row r="25">
      <c r="A25" s="21" t="s">
        <v>51</v>
      </c>
      <c r="B25" s="15" t="s">
        <v>188</v>
      </c>
    </row>
    <row r="26">
      <c r="A26" s="21" t="s">
        <v>36</v>
      </c>
      <c r="B26" s="15" t="s">
        <v>188</v>
      </c>
    </row>
    <row r="27">
      <c r="A27" s="22" t="s">
        <v>104</v>
      </c>
      <c r="B27" s="15" t="s">
        <v>188</v>
      </c>
    </row>
    <row r="28">
      <c r="A28" s="21" t="s">
        <v>93</v>
      </c>
      <c r="B28" s="15" t="s">
        <v>189</v>
      </c>
    </row>
    <row r="29">
      <c r="A29" s="21" t="s">
        <v>85</v>
      </c>
      <c r="B29" s="15" t="s">
        <v>189</v>
      </c>
    </row>
    <row r="30">
      <c r="A30" s="21" t="s">
        <v>64</v>
      </c>
      <c r="B30" s="15" t="s">
        <v>189</v>
      </c>
    </row>
    <row r="31">
      <c r="A31" s="21" t="s">
        <v>66</v>
      </c>
      <c r="B31" s="15" t="s">
        <v>189</v>
      </c>
    </row>
    <row r="32">
      <c r="A32" s="21" t="s">
        <v>70</v>
      </c>
      <c r="B32" s="15" t="s">
        <v>189</v>
      </c>
    </row>
    <row r="33">
      <c r="A33" s="21" t="s">
        <v>61</v>
      </c>
      <c r="B33" s="15" t="s">
        <v>189</v>
      </c>
    </row>
    <row r="34">
      <c r="A34" s="21" t="s">
        <v>45</v>
      </c>
      <c r="B34" s="15" t="s">
        <v>189</v>
      </c>
    </row>
    <row r="35">
      <c r="A35" s="21" t="s">
        <v>79</v>
      </c>
      <c r="B35" s="15" t="s">
        <v>189</v>
      </c>
    </row>
    <row r="36">
      <c r="A36" s="21" t="s">
        <v>99</v>
      </c>
      <c r="B36" s="15" t="s">
        <v>189</v>
      </c>
    </row>
    <row r="37">
      <c r="A37" s="21" t="s">
        <v>98</v>
      </c>
      <c r="B37" s="15" t="s">
        <v>189</v>
      </c>
    </row>
    <row r="38">
      <c r="A38" s="22" t="s">
        <v>114</v>
      </c>
      <c r="B38" s="15" t="s">
        <v>189</v>
      </c>
    </row>
    <row r="39">
      <c r="A39" s="22" t="s">
        <v>30</v>
      </c>
      <c r="B39" s="15" t="s">
        <v>189</v>
      </c>
    </row>
    <row r="40">
      <c r="A40" s="22" t="s">
        <v>62</v>
      </c>
      <c r="B40" s="15" t="s">
        <v>190</v>
      </c>
    </row>
    <row r="41">
      <c r="A41" s="21" t="s">
        <v>102</v>
      </c>
      <c r="B41" s="15" t="s">
        <v>190</v>
      </c>
    </row>
    <row r="42">
      <c r="A42" s="21" t="s">
        <v>50</v>
      </c>
      <c r="B42" s="15" t="s">
        <v>190</v>
      </c>
    </row>
    <row r="43">
      <c r="A43" s="21" t="s">
        <v>57</v>
      </c>
      <c r="B43" s="15" t="s">
        <v>190</v>
      </c>
    </row>
    <row r="44">
      <c r="A44" s="21" t="s">
        <v>86</v>
      </c>
      <c r="B44" s="15" t="s">
        <v>190</v>
      </c>
    </row>
    <row r="45">
      <c r="A45" s="21" t="s">
        <v>109</v>
      </c>
      <c r="B45" s="15" t="s">
        <v>190</v>
      </c>
    </row>
    <row r="46">
      <c r="A46" s="21" t="s">
        <v>91</v>
      </c>
      <c r="B46" s="15" t="s">
        <v>190</v>
      </c>
    </row>
    <row r="47">
      <c r="A47" s="21" t="s">
        <v>111</v>
      </c>
      <c r="B47" s="15" t="s">
        <v>190</v>
      </c>
    </row>
    <row r="48">
      <c r="A48" s="21" t="s">
        <v>112</v>
      </c>
      <c r="B48" s="15" t="s">
        <v>190</v>
      </c>
    </row>
    <row r="49">
      <c r="A49" s="21" t="s">
        <v>110</v>
      </c>
      <c r="B49" s="15" t="s">
        <v>191</v>
      </c>
    </row>
    <row r="50">
      <c r="A50" s="21" t="s">
        <v>72</v>
      </c>
      <c r="B50" s="15" t="s">
        <v>191</v>
      </c>
    </row>
    <row r="51">
      <c r="A51" s="21" t="s">
        <v>107</v>
      </c>
      <c r="B51" s="15" t="s">
        <v>191</v>
      </c>
    </row>
    <row r="52">
      <c r="A52" s="21" t="s">
        <v>97</v>
      </c>
      <c r="B52" s="15" t="s">
        <v>191</v>
      </c>
    </row>
    <row r="53">
      <c r="A53" s="21" t="s">
        <v>54</v>
      </c>
      <c r="B53" s="15" t="s">
        <v>191</v>
      </c>
    </row>
    <row r="54">
      <c r="A54" s="21" t="s">
        <v>77</v>
      </c>
      <c r="B54" s="15" t="s">
        <v>191</v>
      </c>
    </row>
    <row r="55">
      <c r="A55" s="21" t="s">
        <v>41</v>
      </c>
      <c r="B55" s="15" t="s">
        <v>191</v>
      </c>
    </row>
    <row r="56">
      <c r="A56" s="21" t="s">
        <v>43</v>
      </c>
      <c r="B56" s="15" t="s">
        <v>191</v>
      </c>
    </row>
    <row r="57">
      <c r="A57" s="22" t="s">
        <v>47</v>
      </c>
      <c r="B57" s="15" t="s">
        <v>191</v>
      </c>
    </row>
    <row r="58">
      <c r="A58" s="21" t="s">
        <v>38</v>
      </c>
      <c r="B58" s="15" t="s">
        <v>191</v>
      </c>
    </row>
    <row r="59">
      <c r="A59" s="21" t="s">
        <v>55</v>
      </c>
      <c r="B59" s="15" t="s">
        <v>191</v>
      </c>
    </row>
    <row r="60">
      <c r="A60" s="21" t="s">
        <v>71</v>
      </c>
      <c r="B60" s="15" t="s">
        <v>191</v>
      </c>
    </row>
    <row r="61">
      <c r="A61" s="21" t="s">
        <v>90</v>
      </c>
      <c r="B61" s="15" t="s">
        <v>192</v>
      </c>
    </row>
    <row r="62">
      <c r="A62" s="21" t="s">
        <v>33</v>
      </c>
      <c r="B62" s="15" t="s">
        <v>192</v>
      </c>
    </row>
    <row r="63">
      <c r="A63" s="22" t="s">
        <v>46</v>
      </c>
      <c r="B63" s="15" t="s">
        <v>192</v>
      </c>
    </row>
    <row r="64">
      <c r="A64" s="22" t="s">
        <v>32</v>
      </c>
      <c r="B64" s="15" t="s">
        <v>192</v>
      </c>
    </row>
    <row r="65">
      <c r="A65" s="21" t="s">
        <v>37</v>
      </c>
      <c r="B65" s="15" t="s">
        <v>192</v>
      </c>
    </row>
    <row r="66">
      <c r="A66" s="22" t="s">
        <v>44</v>
      </c>
      <c r="B66" s="15" t="s">
        <v>192</v>
      </c>
    </row>
    <row r="67">
      <c r="A67" s="22" t="s">
        <v>80</v>
      </c>
      <c r="B67" s="15" t="s">
        <v>192</v>
      </c>
    </row>
    <row r="68">
      <c r="A68" s="21" t="s">
        <v>35</v>
      </c>
      <c r="B68" s="15" t="s">
        <v>193</v>
      </c>
    </row>
    <row r="69">
      <c r="A69" s="21" t="s">
        <v>95</v>
      </c>
      <c r="B69" s="15" t="s">
        <v>193</v>
      </c>
    </row>
    <row r="70">
      <c r="A70" s="21" t="s">
        <v>94</v>
      </c>
      <c r="B70" s="15" t="s">
        <v>193</v>
      </c>
    </row>
    <row r="71">
      <c r="A71" s="22" t="s">
        <v>34</v>
      </c>
      <c r="B71" s="15" t="s">
        <v>193</v>
      </c>
    </row>
    <row r="72">
      <c r="A72" s="21" t="s">
        <v>56</v>
      </c>
      <c r="B72" s="15" t="s">
        <v>193</v>
      </c>
    </row>
    <row r="73">
      <c r="A73" s="22" t="s">
        <v>63</v>
      </c>
      <c r="B73" s="15" t="s">
        <v>193</v>
      </c>
    </row>
    <row r="74">
      <c r="A74" s="21" t="s">
        <v>69</v>
      </c>
      <c r="B74" s="15" t="s">
        <v>193</v>
      </c>
    </row>
    <row r="75">
      <c r="A75" s="21" t="s">
        <v>40</v>
      </c>
      <c r="B75" s="15" t="s">
        <v>193</v>
      </c>
    </row>
    <row r="76">
      <c r="A76" s="21" t="s">
        <v>53</v>
      </c>
      <c r="B76" s="15" t="s">
        <v>193</v>
      </c>
    </row>
    <row r="77">
      <c r="A77" s="21" t="s">
        <v>74</v>
      </c>
      <c r="B77" s="15" t="s">
        <v>193</v>
      </c>
    </row>
    <row r="78">
      <c r="A78" s="21" t="s">
        <v>75</v>
      </c>
      <c r="B78" s="15" t="s">
        <v>193</v>
      </c>
    </row>
    <row r="79">
      <c r="A79" s="21" t="s">
        <v>39</v>
      </c>
      <c r="B79" s="15" t="s">
        <v>193</v>
      </c>
    </row>
    <row r="80">
      <c r="A80" s="21" t="s">
        <v>52</v>
      </c>
      <c r="B80" s="15" t="s">
        <v>193</v>
      </c>
    </row>
    <row r="81">
      <c r="A81" s="21" t="s">
        <v>42</v>
      </c>
      <c r="B81" s="15" t="s">
        <v>193</v>
      </c>
    </row>
    <row r="82">
      <c r="A82" s="21" t="s">
        <v>84</v>
      </c>
      <c r="B82" s="15" t="s">
        <v>194</v>
      </c>
    </row>
    <row r="83">
      <c r="A83" s="21" t="s">
        <v>113</v>
      </c>
      <c r="B83" s="15" t="s">
        <v>194</v>
      </c>
      <c r="D83" s="23"/>
    </row>
    <row r="84">
      <c r="A84" s="21" t="s">
        <v>103</v>
      </c>
      <c r="B84" s="15" t="s">
        <v>194</v>
      </c>
      <c r="D84" s="23" t="s">
        <v>113</v>
      </c>
    </row>
    <row r="85">
      <c r="A85" s="21" t="s">
        <v>108</v>
      </c>
      <c r="B85" s="15" t="s">
        <v>194</v>
      </c>
      <c r="D85" s="23" t="s">
        <v>103</v>
      </c>
    </row>
    <row r="86">
      <c r="A86" s="22" t="s">
        <v>100</v>
      </c>
      <c r="B86" s="15" t="s">
        <v>194</v>
      </c>
      <c r="D86" s="23" t="s">
        <v>108</v>
      </c>
    </row>
    <row r="87">
      <c r="A87" s="21" t="s">
        <v>106</v>
      </c>
      <c r="B87" s="15" t="s">
        <v>194</v>
      </c>
      <c r="D87" s="23" t="s">
        <v>195</v>
      </c>
    </row>
    <row r="88">
      <c r="A88" s="21" t="s">
        <v>48</v>
      </c>
      <c r="B88" s="15" t="s">
        <v>194</v>
      </c>
      <c r="D88" s="23" t="s">
        <v>106</v>
      </c>
    </row>
    <row r="89">
      <c r="A89" s="24"/>
      <c r="D89" s="23" t="s">
        <v>48</v>
      </c>
    </row>
    <row r="90">
      <c r="A90" s="24"/>
    </row>
    <row r="91">
      <c r="A91" s="24"/>
    </row>
    <row r="92">
      <c r="A92" s="24"/>
    </row>
    <row r="93">
      <c r="A93" s="24"/>
    </row>
    <row r="94">
      <c r="A94" s="24"/>
    </row>
    <row r="95">
      <c r="A95" s="24"/>
    </row>
    <row r="96">
      <c r="A96" s="24"/>
    </row>
    <row r="97">
      <c r="A97" s="24"/>
    </row>
    <row r="98">
      <c r="A98" s="24"/>
    </row>
    <row r="99">
      <c r="A99" s="24"/>
    </row>
    <row r="100">
      <c r="A100" s="24"/>
    </row>
    <row r="101">
      <c r="A101" s="24"/>
    </row>
    <row r="102">
      <c r="A102" s="24"/>
    </row>
    <row r="103">
      <c r="A103" s="24"/>
    </row>
    <row r="104">
      <c r="A104" s="24"/>
    </row>
    <row r="105">
      <c r="A105" s="24"/>
    </row>
    <row r="106">
      <c r="A106" s="24"/>
    </row>
    <row r="107">
      <c r="A107" s="24"/>
    </row>
    <row r="108">
      <c r="A108" s="24"/>
    </row>
    <row r="109">
      <c r="A109" s="24"/>
    </row>
    <row r="110">
      <c r="A110" s="24"/>
    </row>
    <row r="111">
      <c r="A111" s="24"/>
    </row>
    <row r="112">
      <c r="A112" s="24"/>
    </row>
    <row r="113">
      <c r="A113" s="24"/>
    </row>
    <row r="114">
      <c r="A114" s="24"/>
    </row>
    <row r="115">
      <c r="A115" s="24"/>
    </row>
    <row r="116">
      <c r="A116" s="24"/>
    </row>
    <row r="117">
      <c r="A117" s="24"/>
    </row>
    <row r="118">
      <c r="A118" s="24"/>
    </row>
    <row r="119">
      <c r="A119" s="24"/>
    </row>
    <row r="120">
      <c r="A120" s="24"/>
    </row>
    <row r="121">
      <c r="A121" s="24"/>
    </row>
    <row r="122">
      <c r="A122" s="24"/>
    </row>
    <row r="123">
      <c r="A123" s="24"/>
    </row>
    <row r="124">
      <c r="A124" s="24"/>
    </row>
    <row r="125">
      <c r="A125" s="24"/>
    </row>
    <row r="126">
      <c r="A126" s="24"/>
    </row>
    <row r="127">
      <c r="A127" s="24"/>
    </row>
    <row r="128">
      <c r="A128" s="24"/>
    </row>
    <row r="129">
      <c r="A129" s="24"/>
    </row>
    <row r="130">
      <c r="A130" s="24"/>
    </row>
    <row r="131">
      <c r="A131" s="24"/>
    </row>
    <row r="132">
      <c r="A132" s="24"/>
    </row>
    <row r="133">
      <c r="A133" s="24"/>
    </row>
    <row r="134">
      <c r="A134" s="24"/>
    </row>
    <row r="135">
      <c r="A135" s="24"/>
    </row>
    <row r="136">
      <c r="A136" s="24"/>
    </row>
    <row r="137">
      <c r="A137" s="24"/>
    </row>
    <row r="138">
      <c r="A138" s="24"/>
    </row>
    <row r="139">
      <c r="A139" s="24"/>
    </row>
    <row r="140">
      <c r="A140" s="24"/>
    </row>
    <row r="141">
      <c r="A141" s="24"/>
    </row>
    <row r="142">
      <c r="A142" s="24"/>
    </row>
    <row r="143">
      <c r="A143" s="24"/>
    </row>
    <row r="144">
      <c r="A144" s="24"/>
    </row>
    <row r="145">
      <c r="A145" s="24"/>
    </row>
    <row r="146">
      <c r="A146" s="24"/>
    </row>
    <row r="147">
      <c r="A147" s="24"/>
    </row>
    <row r="148">
      <c r="A148" s="24"/>
    </row>
    <row r="149">
      <c r="A149" s="24"/>
    </row>
    <row r="150">
      <c r="A150" s="24"/>
    </row>
    <row r="151">
      <c r="A151" s="24"/>
    </row>
    <row r="152">
      <c r="A152" s="24"/>
    </row>
    <row r="153">
      <c r="A153" s="24"/>
    </row>
    <row r="154">
      <c r="A154" s="24"/>
    </row>
    <row r="155">
      <c r="A155" s="24"/>
    </row>
    <row r="156">
      <c r="A156" s="24"/>
    </row>
    <row r="157">
      <c r="A157" s="24"/>
    </row>
    <row r="158">
      <c r="A158" s="24"/>
    </row>
    <row r="159">
      <c r="A159" s="24"/>
    </row>
    <row r="160">
      <c r="A160" s="24"/>
    </row>
    <row r="161">
      <c r="A161" s="24"/>
    </row>
    <row r="162">
      <c r="A162" s="24"/>
    </row>
    <row r="163">
      <c r="A163" s="24"/>
    </row>
    <row r="164">
      <c r="A164" s="24"/>
    </row>
    <row r="165">
      <c r="A165" s="24"/>
    </row>
    <row r="166">
      <c r="A166" s="24"/>
    </row>
    <row r="167">
      <c r="A167" s="24"/>
    </row>
    <row r="168">
      <c r="A168" s="24"/>
    </row>
    <row r="169">
      <c r="A169" s="24"/>
    </row>
    <row r="170">
      <c r="A170" s="24"/>
    </row>
    <row r="171">
      <c r="A171" s="24"/>
    </row>
    <row r="172">
      <c r="A172" s="24"/>
    </row>
    <row r="173">
      <c r="A173" s="24"/>
    </row>
    <row r="174">
      <c r="A174" s="24"/>
    </row>
    <row r="175">
      <c r="A175" s="24"/>
    </row>
    <row r="176">
      <c r="A176" s="24"/>
    </row>
    <row r="177">
      <c r="A177" s="24"/>
    </row>
    <row r="178">
      <c r="A178" s="24"/>
    </row>
    <row r="179">
      <c r="A179" s="24"/>
    </row>
    <row r="180">
      <c r="A180" s="24"/>
    </row>
    <row r="181">
      <c r="A181" s="24"/>
    </row>
    <row r="182">
      <c r="A182" s="24"/>
    </row>
    <row r="183">
      <c r="A183" s="24"/>
    </row>
    <row r="184">
      <c r="A184" s="24"/>
    </row>
    <row r="185">
      <c r="A185" s="24"/>
    </row>
    <row r="186">
      <c r="A186" s="24"/>
    </row>
    <row r="187">
      <c r="A187" s="24"/>
    </row>
    <row r="188">
      <c r="A188" s="24"/>
    </row>
    <row r="189">
      <c r="A189" s="24"/>
    </row>
    <row r="190">
      <c r="A190" s="24"/>
    </row>
    <row r="191">
      <c r="A191" s="24"/>
    </row>
    <row r="192">
      <c r="A192" s="24"/>
    </row>
    <row r="193">
      <c r="A193" s="24"/>
    </row>
    <row r="194">
      <c r="A194" s="24"/>
    </row>
    <row r="195">
      <c r="A195" s="24"/>
    </row>
    <row r="196">
      <c r="A196" s="24"/>
    </row>
    <row r="197">
      <c r="A197" s="24"/>
    </row>
    <row r="198">
      <c r="A198" s="24"/>
    </row>
    <row r="199">
      <c r="A199" s="24"/>
    </row>
    <row r="200">
      <c r="A200" s="24"/>
    </row>
    <row r="201">
      <c r="A201" s="24"/>
    </row>
    <row r="202">
      <c r="A202" s="24"/>
    </row>
    <row r="203">
      <c r="A203" s="24"/>
    </row>
    <row r="204">
      <c r="A204" s="24"/>
    </row>
    <row r="205">
      <c r="A205" s="24"/>
    </row>
    <row r="206">
      <c r="A206" s="24"/>
    </row>
    <row r="207">
      <c r="A207" s="24"/>
    </row>
    <row r="208">
      <c r="A208" s="24"/>
    </row>
    <row r="209">
      <c r="A209" s="24"/>
    </row>
    <row r="210">
      <c r="A210" s="24"/>
    </row>
    <row r="211">
      <c r="A211" s="24"/>
    </row>
    <row r="212">
      <c r="A212" s="24"/>
    </row>
    <row r="213">
      <c r="A213" s="24"/>
    </row>
    <row r="214">
      <c r="A214" s="24"/>
    </row>
    <row r="215">
      <c r="A215" s="24"/>
    </row>
    <row r="216">
      <c r="A216" s="24"/>
    </row>
    <row r="217">
      <c r="A217" s="24"/>
    </row>
    <row r="218">
      <c r="A218" s="24"/>
    </row>
    <row r="219">
      <c r="A219" s="24"/>
    </row>
    <row r="220">
      <c r="A220" s="24"/>
    </row>
    <row r="221">
      <c r="A221" s="24"/>
    </row>
    <row r="222">
      <c r="A222" s="24"/>
    </row>
    <row r="223">
      <c r="A223" s="24"/>
    </row>
    <row r="224">
      <c r="A224" s="24"/>
    </row>
    <row r="225">
      <c r="A225" s="24"/>
    </row>
    <row r="226">
      <c r="A226" s="24"/>
    </row>
    <row r="227">
      <c r="A227" s="24"/>
    </row>
    <row r="228">
      <c r="A228" s="24"/>
    </row>
    <row r="229">
      <c r="A229" s="24"/>
    </row>
    <row r="230">
      <c r="A230" s="24"/>
    </row>
    <row r="231">
      <c r="A231" s="24"/>
    </row>
    <row r="232">
      <c r="A232" s="24"/>
    </row>
    <row r="233">
      <c r="A233" s="24"/>
    </row>
    <row r="234">
      <c r="A234" s="24"/>
    </row>
    <row r="235">
      <c r="A235" s="24"/>
    </row>
    <row r="236">
      <c r="A236" s="24"/>
    </row>
    <row r="237">
      <c r="A237" s="24"/>
    </row>
    <row r="238">
      <c r="A238" s="24"/>
    </row>
    <row r="239">
      <c r="A239" s="24"/>
    </row>
    <row r="240">
      <c r="A240" s="24"/>
    </row>
    <row r="241">
      <c r="A241" s="24"/>
    </row>
    <row r="242">
      <c r="A242" s="24"/>
    </row>
    <row r="243">
      <c r="A243" s="24"/>
    </row>
    <row r="244">
      <c r="A244" s="24"/>
    </row>
    <row r="245">
      <c r="A245" s="24"/>
    </row>
    <row r="246">
      <c r="A246" s="24"/>
    </row>
    <row r="247">
      <c r="A247" s="24"/>
    </row>
    <row r="248">
      <c r="A248" s="24"/>
    </row>
    <row r="249">
      <c r="A249" s="24"/>
    </row>
    <row r="250">
      <c r="A250" s="24"/>
    </row>
    <row r="251">
      <c r="A251" s="24"/>
    </row>
    <row r="252">
      <c r="A252" s="24"/>
    </row>
    <row r="253">
      <c r="A253" s="24"/>
    </row>
    <row r="254">
      <c r="A254" s="24"/>
    </row>
    <row r="255">
      <c r="A255" s="24"/>
    </row>
    <row r="256">
      <c r="A256" s="24"/>
    </row>
    <row r="257">
      <c r="A257" s="24"/>
    </row>
    <row r="258">
      <c r="A258" s="24"/>
    </row>
    <row r="259">
      <c r="A259" s="24"/>
    </row>
    <row r="260">
      <c r="A260" s="24"/>
    </row>
    <row r="261">
      <c r="A261" s="24"/>
    </row>
    <row r="262">
      <c r="A262" s="24"/>
    </row>
    <row r="263">
      <c r="A263" s="24"/>
    </row>
    <row r="264">
      <c r="A264" s="24"/>
    </row>
    <row r="265">
      <c r="A265" s="24"/>
    </row>
    <row r="266">
      <c r="A266" s="24"/>
    </row>
    <row r="267">
      <c r="A267" s="24"/>
    </row>
    <row r="268">
      <c r="A268" s="24"/>
    </row>
    <row r="269">
      <c r="A269" s="24"/>
    </row>
    <row r="270">
      <c r="A270" s="24"/>
    </row>
    <row r="271">
      <c r="A271" s="24"/>
    </row>
    <row r="272">
      <c r="A272" s="24"/>
    </row>
    <row r="273">
      <c r="A273" s="24"/>
    </row>
    <row r="274">
      <c r="A274" s="24"/>
    </row>
    <row r="275">
      <c r="A275" s="24"/>
    </row>
    <row r="276">
      <c r="A276" s="24"/>
    </row>
    <row r="277">
      <c r="A277" s="24"/>
    </row>
    <row r="278">
      <c r="A278" s="24"/>
    </row>
    <row r="279">
      <c r="A279" s="24"/>
    </row>
    <row r="280">
      <c r="A280" s="24"/>
    </row>
    <row r="281">
      <c r="A281" s="24"/>
    </row>
    <row r="282">
      <c r="A282" s="24"/>
    </row>
    <row r="283">
      <c r="A283" s="24"/>
    </row>
    <row r="284">
      <c r="A284" s="24"/>
    </row>
    <row r="285">
      <c r="A285" s="24"/>
    </row>
    <row r="286">
      <c r="A286" s="24"/>
    </row>
    <row r="287">
      <c r="A287" s="24"/>
    </row>
    <row r="288">
      <c r="A288" s="24"/>
    </row>
    <row r="289">
      <c r="A289" s="24"/>
    </row>
    <row r="290">
      <c r="A290" s="24"/>
    </row>
    <row r="291">
      <c r="A291" s="24"/>
    </row>
    <row r="292">
      <c r="A292" s="24"/>
    </row>
    <row r="293">
      <c r="A293" s="24"/>
    </row>
    <row r="294">
      <c r="A294" s="24"/>
    </row>
    <row r="295">
      <c r="A295" s="24"/>
    </row>
    <row r="296">
      <c r="A296" s="24"/>
    </row>
    <row r="297">
      <c r="A297" s="24"/>
    </row>
    <row r="298">
      <c r="A298" s="24"/>
    </row>
    <row r="299">
      <c r="A299" s="24"/>
    </row>
    <row r="300">
      <c r="A300" s="24"/>
    </row>
    <row r="301">
      <c r="A301" s="24"/>
    </row>
    <row r="302">
      <c r="A302" s="24"/>
    </row>
    <row r="303">
      <c r="A303" s="24"/>
    </row>
    <row r="304">
      <c r="A304" s="24"/>
    </row>
    <row r="305">
      <c r="A305" s="24"/>
    </row>
    <row r="306">
      <c r="A306" s="24"/>
    </row>
    <row r="307">
      <c r="A307" s="24"/>
    </row>
    <row r="308">
      <c r="A308" s="24"/>
    </row>
    <row r="309">
      <c r="A309" s="24"/>
    </row>
    <row r="310">
      <c r="A310" s="24"/>
    </row>
    <row r="311">
      <c r="A311" s="24"/>
    </row>
    <row r="312">
      <c r="A312" s="24"/>
    </row>
    <row r="313">
      <c r="A313" s="24"/>
    </row>
    <row r="314">
      <c r="A314" s="24"/>
    </row>
    <row r="315">
      <c r="A315" s="24"/>
    </row>
    <row r="316">
      <c r="A316" s="24"/>
    </row>
    <row r="317">
      <c r="A317" s="24"/>
    </row>
    <row r="318">
      <c r="A318" s="24"/>
    </row>
    <row r="319">
      <c r="A319" s="24"/>
    </row>
    <row r="320">
      <c r="A320" s="24"/>
    </row>
    <row r="321">
      <c r="A321" s="24"/>
    </row>
    <row r="322">
      <c r="A322" s="24"/>
    </row>
    <row r="323">
      <c r="A323" s="24"/>
    </row>
    <row r="324">
      <c r="A324" s="24"/>
    </row>
    <row r="325">
      <c r="A325" s="24"/>
    </row>
    <row r="326">
      <c r="A326" s="24"/>
    </row>
    <row r="327">
      <c r="A327" s="24"/>
    </row>
    <row r="328">
      <c r="A328" s="24"/>
    </row>
    <row r="329">
      <c r="A329" s="24"/>
    </row>
    <row r="330">
      <c r="A330" s="24"/>
    </row>
    <row r="331">
      <c r="A331" s="24"/>
    </row>
    <row r="332">
      <c r="A332" s="24"/>
    </row>
    <row r="333">
      <c r="A333" s="24"/>
    </row>
    <row r="334">
      <c r="A334" s="24"/>
    </row>
    <row r="335">
      <c r="A335" s="24"/>
    </row>
    <row r="336">
      <c r="A336" s="24"/>
    </row>
    <row r="337">
      <c r="A337" s="24"/>
    </row>
    <row r="338">
      <c r="A338" s="24"/>
    </row>
    <row r="339">
      <c r="A339" s="24"/>
    </row>
    <row r="340">
      <c r="A340" s="24"/>
    </row>
    <row r="341">
      <c r="A341" s="24"/>
    </row>
    <row r="342">
      <c r="A342" s="24"/>
    </row>
    <row r="343">
      <c r="A343" s="24"/>
    </row>
    <row r="344">
      <c r="A344" s="24"/>
    </row>
    <row r="345">
      <c r="A345" s="24"/>
    </row>
    <row r="346">
      <c r="A346" s="24"/>
    </row>
    <row r="347">
      <c r="A347" s="24"/>
    </row>
    <row r="348">
      <c r="A348" s="24"/>
    </row>
    <row r="349">
      <c r="A349" s="24"/>
    </row>
    <row r="350">
      <c r="A350" s="24"/>
    </row>
    <row r="351">
      <c r="A351" s="24"/>
    </row>
    <row r="352">
      <c r="A352" s="24"/>
    </row>
    <row r="353">
      <c r="A353" s="24"/>
    </row>
    <row r="354">
      <c r="A354" s="24"/>
    </row>
    <row r="355">
      <c r="A355" s="24"/>
    </row>
    <row r="356">
      <c r="A356" s="24"/>
    </row>
    <row r="357">
      <c r="A357" s="24"/>
    </row>
    <row r="358">
      <c r="A358" s="24"/>
    </row>
    <row r="359">
      <c r="A359" s="24"/>
    </row>
    <row r="360">
      <c r="A360" s="24"/>
    </row>
    <row r="361">
      <c r="A361" s="24"/>
    </row>
    <row r="362">
      <c r="A362" s="24"/>
    </row>
    <row r="363">
      <c r="A363" s="24"/>
    </row>
    <row r="364">
      <c r="A364" s="24"/>
    </row>
    <row r="365">
      <c r="A365" s="24"/>
    </row>
    <row r="366">
      <c r="A366" s="24"/>
    </row>
    <row r="367">
      <c r="A367" s="24"/>
    </row>
    <row r="368">
      <c r="A368" s="24"/>
    </row>
    <row r="369">
      <c r="A369" s="24"/>
    </row>
    <row r="370">
      <c r="A370" s="24"/>
    </row>
    <row r="371">
      <c r="A371" s="24"/>
    </row>
    <row r="372">
      <c r="A372" s="24"/>
    </row>
    <row r="373">
      <c r="A373" s="24"/>
    </row>
    <row r="374">
      <c r="A374" s="24"/>
    </row>
    <row r="375">
      <c r="A375" s="24"/>
    </row>
    <row r="376">
      <c r="A376" s="24"/>
    </row>
    <row r="377">
      <c r="A377" s="24"/>
    </row>
    <row r="378">
      <c r="A378" s="24"/>
    </row>
    <row r="379">
      <c r="A379" s="24"/>
    </row>
    <row r="380">
      <c r="A380" s="24"/>
    </row>
    <row r="381">
      <c r="A381" s="24"/>
    </row>
    <row r="382">
      <c r="A382" s="24"/>
    </row>
    <row r="383">
      <c r="A383" s="24"/>
    </row>
    <row r="384">
      <c r="A384" s="24"/>
    </row>
    <row r="385">
      <c r="A385" s="24"/>
    </row>
    <row r="386">
      <c r="A386" s="24"/>
    </row>
    <row r="387">
      <c r="A387" s="24"/>
    </row>
    <row r="388">
      <c r="A388" s="24"/>
    </row>
    <row r="389">
      <c r="A389" s="24"/>
    </row>
    <row r="390">
      <c r="A390" s="24"/>
    </row>
    <row r="391">
      <c r="A391" s="24"/>
    </row>
    <row r="392">
      <c r="A392" s="24"/>
    </row>
    <row r="393">
      <c r="A393" s="24"/>
    </row>
    <row r="394">
      <c r="A394" s="24"/>
    </row>
    <row r="395">
      <c r="A395" s="24"/>
    </row>
    <row r="396">
      <c r="A396" s="24"/>
    </row>
    <row r="397">
      <c r="A397" s="24"/>
    </row>
    <row r="398">
      <c r="A398" s="24"/>
    </row>
    <row r="399">
      <c r="A399" s="24"/>
    </row>
    <row r="400">
      <c r="A400" s="24"/>
    </row>
    <row r="401">
      <c r="A401" s="24"/>
    </row>
    <row r="402">
      <c r="A402" s="24"/>
    </row>
    <row r="403">
      <c r="A403" s="24"/>
    </row>
    <row r="404">
      <c r="A404" s="24"/>
    </row>
    <row r="405">
      <c r="A405" s="24"/>
    </row>
    <row r="406">
      <c r="A406" s="24"/>
    </row>
    <row r="407">
      <c r="A407" s="24"/>
    </row>
    <row r="408">
      <c r="A408" s="24"/>
    </row>
    <row r="409">
      <c r="A409" s="24"/>
    </row>
    <row r="410">
      <c r="A410" s="24"/>
    </row>
    <row r="411">
      <c r="A411" s="24"/>
    </row>
    <row r="412">
      <c r="A412" s="24"/>
    </row>
    <row r="413">
      <c r="A413" s="24"/>
    </row>
    <row r="414">
      <c r="A414" s="24"/>
    </row>
    <row r="415">
      <c r="A415" s="24"/>
    </row>
    <row r="416">
      <c r="A416" s="24"/>
    </row>
    <row r="417">
      <c r="A417" s="24"/>
    </row>
    <row r="418">
      <c r="A418" s="24"/>
    </row>
    <row r="419">
      <c r="A419" s="24"/>
    </row>
    <row r="420">
      <c r="A420" s="24"/>
    </row>
    <row r="421">
      <c r="A421" s="24"/>
    </row>
    <row r="422">
      <c r="A422" s="24"/>
    </row>
    <row r="423">
      <c r="A423" s="24"/>
    </row>
    <row r="424">
      <c r="A424" s="24"/>
    </row>
    <row r="425">
      <c r="A425" s="24"/>
    </row>
    <row r="426">
      <c r="A426" s="24"/>
    </row>
    <row r="427">
      <c r="A427" s="24"/>
    </row>
    <row r="428">
      <c r="A428" s="24"/>
    </row>
    <row r="429">
      <c r="A429" s="24"/>
    </row>
    <row r="430">
      <c r="A430" s="24"/>
    </row>
    <row r="431">
      <c r="A431" s="24"/>
    </row>
    <row r="432">
      <c r="A432" s="24"/>
    </row>
    <row r="433">
      <c r="A433" s="24"/>
    </row>
    <row r="434">
      <c r="A434" s="24"/>
    </row>
    <row r="435">
      <c r="A435" s="24"/>
    </row>
    <row r="436">
      <c r="A436" s="24"/>
    </row>
    <row r="437">
      <c r="A437" s="24"/>
    </row>
    <row r="438">
      <c r="A438" s="24"/>
    </row>
    <row r="439">
      <c r="A439" s="24"/>
    </row>
    <row r="440">
      <c r="A440" s="24"/>
    </row>
    <row r="441">
      <c r="A441" s="24"/>
    </row>
    <row r="442">
      <c r="A442" s="24"/>
    </row>
    <row r="443">
      <c r="A443" s="24"/>
    </row>
    <row r="444">
      <c r="A444" s="24"/>
    </row>
    <row r="445">
      <c r="A445" s="24"/>
    </row>
    <row r="446">
      <c r="A446" s="24"/>
    </row>
    <row r="447">
      <c r="A447" s="24"/>
    </row>
    <row r="448">
      <c r="A448" s="24"/>
    </row>
    <row r="449">
      <c r="A449" s="24"/>
    </row>
    <row r="450">
      <c r="A450" s="24"/>
    </row>
    <row r="451">
      <c r="A451" s="24"/>
    </row>
    <row r="452">
      <c r="A452" s="24"/>
    </row>
    <row r="453">
      <c r="A453" s="24"/>
    </row>
    <row r="454">
      <c r="A454" s="24"/>
    </row>
    <row r="455">
      <c r="A455" s="24"/>
    </row>
    <row r="456">
      <c r="A456" s="24"/>
    </row>
    <row r="457">
      <c r="A457" s="24"/>
    </row>
    <row r="458">
      <c r="A458" s="24"/>
    </row>
    <row r="459">
      <c r="A459" s="24"/>
    </row>
    <row r="460">
      <c r="A460" s="24"/>
    </row>
    <row r="461">
      <c r="A461" s="24"/>
    </row>
    <row r="462">
      <c r="A462" s="24"/>
    </row>
    <row r="463">
      <c r="A463" s="24"/>
    </row>
    <row r="464">
      <c r="A464" s="24"/>
    </row>
    <row r="465">
      <c r="A465" s="24"/>
    </row>
    <row r="466">
      <c r="A466" s="24"/>
    </row>
    <row r="467">
      <c r="A467" s="24"/>
    </row>
    <row r="468">
      <c r="A468" s="24"/>
    </row>
    <row r="469">
      <c r="A469" s="24"/>
    </row>
    <row r="470">
      <c r="A470" s="24"/>
    </row>
    <row r="471">
      <c r="A471" s="24"/>
    </row>
    <row r="472">
      <c r="A472" s="24"/>
    </row>
    <row r="473">
      <c r="A473" s="24"/>
    </row>
    <row r="474">
      <c r="A474" s="24"/>
    </row>
    <row r="475">
      <c r="A475" s="24"/>
    </row>
    <row r="476">
      <c r="A476" s="24"/>
    </row>
    <row r="477">
      <c r="A477" s="24"/>
    </row>
    <row r="478">
      <c r="A478" s="24"/>
    </row>
    <row r="479">
      <c r="A479" s="24"/>
    </row>
    <row r="480">
      <c r="A480" s="24"/>
    </row>
    <row r="481">
      <c r="A481" s="24"/>
    </row>
    <row r="482">
      <c r="A482" s="24"/>
    </row>
    <row r="483">
      <c r="A483" s="24"/>
    </row>
    <row r="484">
      <c r="A484" s="24"/>
    </row>
    <row r="485">
      <c r="A485" s="24"/>
    </row>
    <row r="486">
      <c r="A486" s="24"/>
    </row>
    <row r="487">
      <c r="A487" s="24"/>
    </row>
    <row r="488">
      <c r="A488" s="24"/>
    </row>
    <row r="489">
      <c r="A489" s="24"/>
    </row>
    <row r="490">
      <c r="A490" s="24"/>
    </row>
    <row r="491">
      <c r="A491" s="24"/>
    </row>
    <row r="492">
      <c r="A492" s="24"/>
    </row>
    <row r="493">
      <c r="A493" s="24"/>
    </row>
    <row r="494">
      <c r="A494" s="24"/>
    </row>
    <row r="495">
      <c r="A495" s="24"/>
    </row>
    <row r="496">
      <c r="A496" s="24"/>
    </row>
    <row r="497">
      <c r="A497" s="24"/>
    </row>
    <row r="498">
      <c r="A498" s="24"/>
    </row>
    <row r="499">
      <c r="A499" s="24"/>
    </row>
    <row r="500">
      <c r="A500" s="24"/>
    </row>
    <row r="501">
      <c r="A501" s="24"/>
    </row>
    <row r="502">
      <c r="A502" s="24"/>
    </row>
    <row r="503">
      <c r="A503" s="24"/>
    </row>
    <row r="504">
      <c r="A504" s="24"/>
    </row>
    <row r="505">
      <c r="A505" s="24"/>
    </row>
    <row r="506">
      <c r="A506" s="24"/>
    </row>
    <row r="507">
      <c r="A507" s="24"/>
    </row>
    <row r="508">
      <c r="A508" s="24"/>
    </row>
    <row r="509">
      <c r="A509" s="24"/>
    </row>
    <row r="510">
      <c r="A510" s="24"/>
    </row>
    <row r="511">
      <c r="A511" s="24"/>
    </row>
    <row r="512">
      <c r="A512" s="24"/>
    </row>
    <row r="513">
      <c r="A513" s="24"/>
    </row>
    <row r="514">
      <c r="A514" s="24"/>
    </row>
    <row r="515">
      <c r="A515" s="24"/>
    </row>
    <row r="516">
      <c r="A516" s="24"/>
    </row>
    <row r="517">
      <c r="A517" s="24"/>
    </row>
    <row r="518">
      <c r="A518" s="24"/>
    </row>
    <row r="519">
      <c r="A519" s="24"/>
    </row>
    <row r="520">
      <c r="A520" s="24"/>
    </row>
    <row r="521">
      <c r="A521" s="24"/>
    </row>
    <row r="522">
      <c r="A522" s="24"/>
    </row>
    <row r="523">
      <c r="A523" s="24"/>
    </row>
    <row r="524">
      <c r="A524" s="24"/>
    </row>
    <row r="525">
      <c r="A525" s="24"/>
    </row>
    <row r="526">
      <c r="A526" s="24"/>
    </row>
    <row r="527">
      <c r="A527" s="24"/>
    </row>
    <row r="528">
      <c r="A528" s="24"/>
    </row>
    <row r="529">
      <c r="A529" s="24"/>
    </row>
    <row r="530">
      <c r="A530" s="24"/>
    </row>
    <row r="531">
      <c r="A531" s="24"/>
    </row>
    <row r="532">
      <c r="A532" s="24"/>
    </row>
    <row r="533">
      <c r="A533" s="24"/>
    </row>
    <row r="534">
      <c r="A534" s="24"/>
    </row>
    <row r="535">
      <c r="A535" s="24"/>
    </row>
    <row r="536">
      <c r="A536" s="24"/>
    </row>
    <row r="537">
      <c r="A537" s="24"/>
    </row>
    <row r="538">
      <c r="A538" s="24"/>
    </row>
    <row r="539">
      <c r="A539" s="24"/>
    </row>
    <row r="540">
      <c r="A540" s="24"/>
    </row>
    <row r="541">
      <c r="A541" s="24"/>
    </row>
    <row r="542">
      <c r="A542" s="24"/>
    </row>
    <row r="543">
      <c r="A543" s="24"/>
    </row>
    <row r="544">
      <c r="A544" s="24"/>
    </row>
    <row r="545">
      <c r="A545" s="24"/>
    </row>
    <row r="546">
      <c r="A546" s="24"/>
    </row>
    <row r="547">
      <c r="A547" s="24"/>
    </row>
    <row r="548">
      <c r="A548" s="24"/>
    </row>
    <row r="549">
      <c r="A549" s="24"/>
    </row>
    <row r="550">
      <c r="A550" s="24"/>
    </row>
    <row r="551">
      <c r="A551" s="24"/>
    </row>
    <row r="552">
      <c r="A552" s="24"/>
    </row>
    <row r="553">
      <c r="A553" s="24"/>
    </row>
    <row r="554">
      <c r="A554" s="24"/>
    </row>
    <row r="555">
      <c r="A555" s="24"/>
    </row>
    <row r="556">
      <c r="A556" s="24"/>
    </row>
    <row r="557">
      <c r="A557" s="24"/>
    </row>
    <row r="558">
      <c r="A558" s="24"/>
    </row>
    <row r="559">
      <c r="A559" s="24"/>
    </row>
    <row r="560">
      <c r="A560" s="24"/>
    </row>
    <row r="561">
      <c r="A561" s="24"/>
    </row>
    <row r="562">
      <c r="A562" s="24"/>
    </row>
    <row r="563">
      <c r="A563" s="24"/>
    </row>
    <row r="564">
      <c r="A564" s="24"/>
    </row>
    <row r="565">
      <c r="A565" s="24"/>
    </row>
    <row r="566">
      <c r="A566" s="24"/>
    </row>
    <row r="567">
      <c r="A567" s="24"/>
    </row>
    <row r="568">
      <c r="A568" s="24"/>
    </row>
    <row r="569">
      <c r="A569" s="24"/>
    </row>
    <row r="570">
      <c r="A570" s="24"/>
    </row>
    <row r="571">
      <c r="A571" s="24"/>
    </row>
    <row r="572">
      <c r="A572" s="24"/>
    </row>
    <row r="573">
      <c r="A573" s="24"/>
    </row>
    <row r="574">
      <c r="A574" s="24"/>
    </row>
    <row r="575">
      <c r="A575" s="24"/>
    </row>
    <row r="576">
      <c r="A576" s="24"/>
    </row>
    <row r="577">
      <c r="A577" s="24"/>
    </row>
    <row r="578">
      <c r="A578" s="24"/>
    </row>
    <row r="579">
      <c r="A579" s="24"/>
    </row>
    <row r="580">
      <c r="A580" s="24"/>
    </row>
    <row r="581">
      <c r="A581" s="24"/>
    </row>
    <row r="582">
      <c r="A582" s="24"/>
    </row>
    <row r="583">
      <c r="A583" s="24"/>
    </row>
    <row r="584">
      <c r="A584" s="24"/>
    </row>
    <row r="585">
      <c r="A585" s="24"/>
    </row>
    <row r="586">
      <c r="A586" s="24"/>
    </row>
    <row r="587">
      <c r="A587" s="24"/>
    </row>
    <row r="588">
      <c r="A588" s="24"/>
    </row>
    <row r="589">
      <c r="A589" s="24"/>
    </row>
    <row r="590">
      <c r="A590" s="24"/>
    </row>
    <row r="591">
      <c r="A591" s="24"/>
    </row>
    <row r="592">
      <c r="A592" s="24"/>
    </row>
    <row r="593">
      <c r="A593" s="24"/>
    </row>
    <row r="594">
      <c r="A594" s="24"/>
    </row>
    <row r="595">
      <c r="A595" s="24"/>
    </row>
    <row r="596">
      <c r="A596" s="24"/>
    </row>
    <row r="597">
      <c r="A597" s="24"/>
    </row>
    <row r="598">
      <c r="A598" s="24"/>
    </row>
    <row r="599">
      <c r="A599" s="24"/>
    </row>
    <row r="600">
      <c r="A600" s="24"/>
    </row>
    <row r="601">
      <c r="A601" s="24"/>
    </row>
    <row r="602">
      <c r="A602" s="24"/>
    </row>
    <row r="603">
      <c r="A603" s="24"/>
    </row>
    <row r="604">
      <c r="A604" s="24"/>
    </row>
    <row r="605">
      <c r="A605" s="24"/>
    </row>
    <row r="606">
      <c r="A606" s="24"/>
    </row>
    <row r="607">
      <c r="A607" s="24"/>
    </row>
    <row r="608">
      <c r="A608" s="24"/>
    </row>
    <row r="609">
      <c r="A609" s="24"/>
    </row>
    <row r="610">
      <c r="A610" s="24"/>
    </row>
    <row r="611">
      <c r="A611" s="24"/>
    </row>
    <row r="612">
      <c r="A612" s="24"/>
    </row>
    <row r="613">
      <c r="A613" s="24"/>
    </row>
    <row r="614">
      <c r="A614" s="24"/>
    </row>
    <row r="615">
      <c r="A615" s="24"/>
    </row>
    <row r="616">
      <c r="A616" s="24"/>
    </row>
    <row r="617">
      <c r="A617" s="24"/>
    </row>
    <row r="618">
      <c r="A618" s="24"/>
    </row>
    <row r="619">
      <c r="A619" s="24"/>
    </row>
    <row r="620">
      <c r="A620" s="24"/>
    </row>
    <row r="621">
      <c r="A621" s="24"/>
    </row>
    <row r="622">
      <c r="A622" s="24"/>
    </row>
    <row r="623">
      <c r="A623" s="24"/>
    </row>
    <row r="624">
      <c r="A624" s="24"/>
    </row>
    <row r="625">
      <c r="A625" s="24"/>
    </row>
    <row r="626">
      <c r="A626" s="24"/>
    </row>
    <row r="627">
      <c r="A627" s="24"/>
    </row>
    <row r="628">
      <c r="A628" s="24"/>
    </row>
    <row r="629">
      <c r="A629" s="24"/>
    </row>
    <row r="630">
      <c r="A630" s="24"/>
    </row>
    <row r="631">
      <c r="A631" s="24"/>
    </row>
    <row r="632">
      <c r="A632" s="24"/>
    </row>
    <row r="633">
      <c r="A633" s="24"/>
    </row>
    <row r="634">
      <c r="A634" s="24"/>
    </row>
    <row r="635">
      <c r="A635" s="24"/>
    </row>
    <row r="636">
      <c r="A636" s="24"/>
    </row>
    <row r="637">
      <c r="A637" s="24"/>
    </row>
    <row r="638">
      <c r="A638" s="24"/>
    </row>
    <row r="639">
      <c r="A639" s="24"/>
    </row>
    <row r="640">
      <c r="A640" s="24"/>
    </row>
    <row r="641">
      <c r="A641" s="24"/>
    </row>
    <row r="642">
      <c r="A642" s="24"/>
    </row>
    <row r="643">
      <c r="A643" s="24"/>
    </row>
    <row r="644">
      <c r="A644" s="24"/>
    </row>
    <row r="645">
      <c r="A645" s="24"/>
    </row>
    <row r="646">
      <c r="A646" s="24"/>
    </row>
    <row r="647">
      <c r="A647" s="24"/>
    </row>
    <row r="648">
      <c r="A648" s="24"/>
    </row>
    <row r="649">
      <c r="A649" s="24"/>
    </row>
    <row r="650">
      <c r="A650" s="24"/>
    </row>
    <row r="651">
      <c r="A651" s="24"/>
    </row>
    <row r="652">
      <c r="A652" s="24"/>
    </row>
    <row r="653">
      <c r="A653" s="24"/>
    </row>
    <row r="654">
      <c r="A654" s="24"/>
    </row>
    <row r="655">
      <c r="A655" s="24"/>
    </row>
    <row r="656">
      <c r="A656" s="24"/>
    </row>
    <row r="657">
      <c r="A657" s="24"/>
    </row>
    <row r="658">
      <c r="A658" s="24"/>
    </row>
    <row r="659">
      <c r="A659" s="24"/>
    </row>
    <row r="660">
      <c r="A660" s="24"/>
    </row>
    <row r="661">
      <c r="A661" s="24"/>
    </row>
    <row r="662">
      <c r="A662" s="24"/>
    </row>
    <row r="663">
      <c r="A663" s="24"/>
    </row>
    <row r="664">
      <c r="A664" s="24"/>
    </row>
    <row r="665">
      <c r="A665" s="24"/>
    </row>
    <row r="666">
      <c r="A666" s="24"/>
    </row>
    <row r="667">
      <c r="A667" s="24"/>
    </row>
    <row r="668">
      <c r="A668" s="24"/>
    </row>
    <row r="669">
      <c r="A669" s="24"/>
    </row>
    <row r="670">
      <c r="A670" s="24"/>
    </row>
    <row r="671">
      <c r="A671" s="24"/>
    </row>
    <row r="672">
      <c r="A672" s="24"/>
    </row>
    <row r="673">
      <c r="A673" s="24"/>
    </row>
    <row r="674">
      <c r="A674" s="24"/>
    </row>
    <row r="675">
      <c r="A675" s="24"/>
    </row>
    <row r="676">
      <c r="A676" s="24"/>
    </row>
    <row r="677">
      <c r="A677" s="24"/>
    </row>
    <row r="678">
      <c r="A678" s="24"/>
    </row>
    <row r="679">
      <c r="A679" s="24"/>
    </row>
    <row r="680">
      <c r="A680" s="24"/>
    </row>
    <row r="681">
      <c r="A681" s="24"/>
    </row>
    <row r="682">
      <c r="A682" s="24"/>
    </row>
    <row r="683">
      <c r="A683" s="24"/>
    </row>
    <row r="684">
      <c r="A684" s="24"/>
    </row>
    <row r="685">
      <c r="A685" s="24"/>
    </row>
    <row r="686">
      <c r="A686" s="24"/>
    </row>
    <row r="687">
      <c r="A687" s="24"/>
    </row>
    <row r="688">
      <c r="A688" s="24"/>
    </row>
    <row r="689">
      <c r="A689" s="24"/>
    </row>
    <row r="690">
      <c r="A690" s="24"/>
    </row>
    <row r="691">
      <c r="A691" s="24"/>
    </row>
    <row r="692">
      <c r="A692" s="24"/>
    </row>
    <row r="693">
      <c r="A693" s="24"/>
    </row>
    <row r="694">
      <c r="A694" s="24"/>
    </row>
    <row r="695">
      <c r="A695" s="24"/>
    </row>
    <row r="696">
      <c r="A696" s="24"/>
    </row>
    <row r="697">
      <c r="A697" s="24"/>
    </row>
    <row r="698">
      <c r="A698" s="24"/>
    </row>
    <row r="699">
      <c r="A699" s="24"/>
    </row>
    <row r="700">
      <c r="A700" s="24"/>
    </row>
    <row r="701">
      <c r="A701" s="24"/>
    </row>
    <row r="702">
      <c r="A702" s="24"/>
    </row>
    <row r="703">
      <c r="A703" s="24"/>
    </row>
    <row r="704">
      <c r="A704" s="24"/>
    </row>
    <row r="705">
      <c r="A705" s="24"/>
    </row>
    <row r="706">
      <c r="A706" s="24"/>
    </row>
    <row r="707">
      <c r="A707" s="24"/>
    </row>
    <row r="708">
      <c r="A708" s="24"/>
    </row>
    <row r="709">
      <c r="A709" s="24"/>
    </row>
    <row r="710">
      <c r="A710" s="24"/>
    </row>
    <row r="711">
      <c r="A711" s="24"/>
    </row>
    <row r="712">
      <c r="A712" s="24"/>
    </row>
    <row r="713">
      <c r="A713" s="24"/>
    </row>
    <row r="714">
      <c r="A714" s="24"/>
    </row>
    <row r="715">
      <c r="A715" s="24"/>
    </row>
    <row r="716">
      <c r="A716" s="24"/>
    </row>
    <row r="717">
      <c r="A717" s="24"/>
    </row>
    <row r="718">
      <c r="A718" s="24"/>
    </row>
    <row r="719">
      <c r="A719" s="24"/>
    </row>
    <row r="720">
      <c r="A720" s="24"/>
    </row>
    <row r="721">
      <c r="A721" s="24"/>
    </row>
    <row r="722">
      <c r="A722" s="24"/>
    </row>
    <row r="723">
      <c r="A723" s="24"/>
    </row>
    <row r="724">
      <c r="A724" s="24"/>
    </row>
    <row r="725">
      <c r="A725" s="24"/>
    </row>
    <row r="726">
      <c r="A726" s="24"/>
    </row>
    <row r="727">
      <c r="A727" s="24"/>
    </row>
    <row r="728">
      <c r="A728" s="24"/>
    </row>
    <row r="729">
      <c r="A729" s="24"/>
    </row>
    <row r="730">
      <c r="A730" s="24"/>
    </row>
    <row r="731">
      <c r="A731" s="24"/>
    </row>
    <row r="732">
      <c r="A732" s="24"/>
    </row>
    <row r="733">
      <c r="A733" s="24"/>
    </row>
    <row r="734">
      <c r="A734" s="24"/>
    </row>
    <row r="735">
      <c r="A735" s="24"/>
    </row>
    <row r="736">
      <c r="A736" s="24"/>
    </row>
    <row r="737">
      <c r="A737" s="24"/>
    </row>
    <row r="738">
      <c r="A738" s="24"/>
    </row>
    <row r="739">
      <c r="A739" s="24"/>
    </row>
    <row r="740">
      <c r="A740" s="24"/>
    </row>
    <row r="741">
      <c r="A741" s="24"/>
    </row>
    <row r="742">
      <c r="A742" s="24"/>
    </row>
    <row r="743">
      <c r="A743" s="24"/>
    </row>
    <row r="744">
      <c r="A744" s="24"/>
    </row>
    <row r="745">
      <c r="A745" s="24"/>
    </row>
    <row r="746">
      <c r="A746" s="24"/>
    </row>
    <row r="747">
      <c r="A747" s="24"/>
    </row>
    <row r="748">
      <c r="A748" s="24"/>
    </row>
    <row r="749">
      <c r="A749" s="24"/>
    </row>
    <row r="750">
      <c r="A750" s="24"/>
    </row>
    <row r="751">
      <c r="A751" s="24"/>
    </row>
    <row r="752">
      <c r="A752" s="24"/>
    </row>
    <row r="753">
      <c r="A753" s="24"/>
    </row>
    <row r="754">
      <c r="A754" s="24"/>
    </row>
    <row r="755">
      <c r="A755" s="24"/>
    </row>
    <row r="756">
      <c r="A756" s="24"/>
    </row>
    <row r="757">
      <c r="A757" s="24"/>
    </row>
    <row r="758">
      <c r="A758" s="24"/>
    </row>
    <row r="759">
      <c r="A759" s="24"/>
    </row>
    <row r="760">
      <c r="A760" s="24"/>
    </row>
    <row r="761">
      <c r="A761" s="24"/>
    </row>
    <row r="762">
      <c r="A762" s="24"/>
    </row>
    <row r="763">
      <c r="A763" s="24"/>
    </row>
    <row r="764">
      <c r="A764" s="24"/>
    </row>
    <row r="765">
      <c r="A765" s="24"/>
    </row>
    <row r="766">
      <c r="A766" s="24"/>
    </row>
    <row r="767">
      <c r="A767" s="24"/>
    </row>
    <row r="768">
      <c r="A768" s="24"/>
    </row>
    <row r="769">
      <c r="A769" s="24"/>
    </row>
    <row r="770">
      <c r="A770" s="24"/>
    </row>
    <row r="771">
      <c r="A771" s="24"/>
    </row>
    <row r="772">
      <c r="A772" s="24"/>
    </row>
    <row r="773">
      <c r="A773" s="24"/>
    </row>
    <row r="774">
      <c r="A774" s="24"/>
    </row>
    <row r="775">
      <c r="A775" s="24"/>
    </row>
    <row r="776">
      <c r="A776" s="24"/>
    </row>
    <row r="777">
      <c r="A777" s="24"/>
    </row>
    <row r="778">
      <c r="A778" s="24"/>
    </row>
    <row r="779">
      <c r="A779" s="24"/>
    </row>
    <row r="780">
      <c r="A780" s="24"/>
    </row>
    <row r="781">
      <c r="A781" s="24"/>
    </row>
    <row r="782">
      <c r="A782" s="24"/>
    </row>
    <row r="783">
      <c r="A783" s="24"/>
    </row>
    <row r="784">
      <c r="A784" s="24"/>
    </row>
    <row r="785">
      <c r="A785" s="24"/>
    </row>
    <row r="786">
      <c r="A786" s="24"/>
    </row>
    <row r="787">
      <c r="A787" s="24"/>
    </row>
    <row r="788">
      <c r="A788" s="24"/>
    </row>
    <row r="789">
      <c r="A789" s="24"/>
    </row>
    <row r="790">
      <c r="A790" s="24"/>
    </row>
    <row r="791">
      <c r="A791" s="24"/>
    </row>
    <row r="792">
      <c r="A792" s="24"/>
    </row>
    <row r="793">
      <c r="A793" s="24"/>
    </row>
    <row r="794">
      <c r="A794" s="24"/>
    </row>
    <row r="795">
      <c r="A795" s="24"/>
    </row>
    <row r="796">
      <c r="A796" s="24"/>
    </row>
    <row r="797">
      <c r="A797" s="24"/>
    </row>
    <row r="798">
      <c r="A798" s="24"/>
    </row>
    <row r="799">
      <c r="A799" s="24"/>
    </row>
    <row r="800">
      <c r="A800" s="24"/>
    </row>
    <row r="801">
      <c r="A801" s="24"/>
    </row>
    <row r="802">
      <c r="A802" s="24"/>
    </row>
    <row r="803">
      <c r="A803" s="24"/>
    </row>
    <row r="804">
      <c r="A804" s="24"/>
    </row>
    <row r="805">
      <c r="A805" s="24"/>
    </row>
    <row r="806">
      <c r="A806" s="24"/>
    </row>
    <row r="807">
      <c r="A807" s="24"/>
    </row>
    <row r="808">
      <c r="A808" s="24"/>
    </row>
    <row r="809">
      <c r="A809" s="24"/>
    </row>
    <row r="810">
      <c r="A810" s="24"/>
    </row>
    <row r="811">
      <c r="A811" s="24"/>
    </row>
    <row r="812">
      <c r="A812" s="24"/>
    </row>
    <row r="813">
      <c r="A813" s="24"/>
    </row>
    <row r="814">
      <c r="A814" s="24"/>
    </row>
    <row r="815">
      <c r="A815" s="24"/>
    </row>
    <row r="816">
      <c r="A816" s="24"/>
    </row>
    <row r="817">
      <c r="A817" s="24"/>
    </row>
    <row r="818">
      <c r="A818" s="24"/>
    </row>
    <row r="819">
      <c r="A819" s="24"/>
    </row>
    <row r="820">
      <c r="A820" s="24"/>
    </row>
    <row r="821">
      <c r="A821" s="24"/>
    </row>
    <row r="822">
      <c r="A822" s="24"/>
    </row>
    <row r="823">
      <c r="A823" s="24"/>
    </row>
    <row r="824">
      <c r="A824" s="24"/>
    </row>
    <row r="825">
      <c r="A825" s="24"/>
    </row>
    <row r="826">
      <c r="A826" s="24"/>
    </row>
    <row r="827">
      <c r="A827" s="24"/>
    </row>
    <row r="828">
      <c r="A828" s="24"/>
    </row>
    <row r="829">
      <c r="A829" s="24"/>
    </row>
    <row r="830">
      <c r="A830" s="24"/>
    </row>
    <row r="831">
      <c r="A831" s="24"/>
    </row>
    <row r="832">
      <c r="A832" s="24"/>
    </row>
    <row r="833">
      <c r="A833" s="24"/>
    </row>
    <row r="834">
      <c r="A834" s="24"/>
    </row>
    <row r="835">
      <c r="A835" s="24"/>
    </row>
    <row r="836">
      <c r="A836" s="24"/>
    </row>
    <row r="837">
      <c r="A837" s="24"/>
    </row>
    <row r="838">
      <c r="A838" s="24"/>
    </row>
    <row r="839">
      <c r="A839" s="24"/>
    </row>
    <row r="840">
      <c r="A840" s="24"/>
    </row>
    <row r="841">
      <c r="A841" s="24"/>
    </row>
    <row r="842">
      <c r="A842" s="24"/>
    </row>
    <row r="843">
      <c r="A843" s="24"/>
    </row>
    <row r="844">
      <c r="A844" s="24"/>
    </row>
    <row r="845">
      <c r="A845" s="24"/>
    </row>
    <row r="846">
      <c r="A846" s="24"/>
    </row>
    <row r="847">
      <c r="A847" s="24"/>
    </row>
    <row r="848">
      <c r="A848" s="24"/>
    </row>
    <row r="849">
      <c r="A849" s="24"/>
    </row>
    <row r="850">
      <c r="A850" s="24"/>
    </row>
    <row r="851">
      <c r="A851" s="24"/>
    </row>
    <row r="852">
      <c r="A852" s="24"/>
    </row>
    <row r="853">
      <c r="A853" s="24"/>
    </row>
    <row r="854">
      <c r="A854" s="24"/>
    </row>
    <row r="855">
      <c r="A855" s="24"/>
    </row>
    <row r="856">
      <c r="A856" s="24"/>
    </row>
    <row r="857">
      <c r="A857" s="24"/>
    </row>
    <row r="858">
      <c r="A858" s="24"/>
    </row>
    <row r="859">
      <c r="A859" s="24"/>
    </row>
    <row r="860">
      <c r="A860" s="24"/>
    </row>
    <row r="861">
      <c r="A861" s="24"/>
    </row>
    <row r="862">
      <c r="A862" s="24"/>
    </row>
    <row r="863">
      <c r="A863" s="24"/>
    </row>
    <row r="864">
      <c r="A864" s="24"/>
    </row>
    <row r="865">
      <c r="A865" s="24"/>
    </row>
    <row r="866">
      <c r="A866" s="24"/>
    </row>
    <row r="867">
      <c r="A867" s="24"/>
    </row>
    <row r="868">
      <c r="A868" s="24"/>
    </row>
    <row r="869">
      <c r="A869" s="24"/>
    </row>
    <row r="870">
      <c r="A870" s="24"/>
    </row>
    <row r="871">
      <c r="A871" s="24"/>
    </row>
    <row r="872">
      <c r="A872" s="24"/>
    </row>
    <row r="873">
      <c r="A873" s="24"/>
    </row>
    <row r="874">
      <c r="A874" s="24"/>
    </row>
    <row r="875">
      <c r="A875" s="24"/>
    </row>
    <row r="876">
      <c r="A876" s="24"/>
    </row>
    <row r="877">
      <c r="A877" s="24"/>
    </row>
    <row r="878">
      <c r="A878" s="24"/>
    </row>
    <row r="879">
      <c r="A879" s="24"/>
    </row>
    <row r="880">
      <c r="A880" s="24"/>
    </row>
    <row r="881">
      <c r="A881" s="24"/>
    </row>
    <row r="882">
      <c r="A882" s="24"/>
    </row>
    <row r="883">
      <c r="A883" s="24"/>
    </row>
    <row r="884">
      <c r="A884" s="24"/>
    </row>
    <row r="885">
      <c r="A885" s="24"/>
    </row>
    <row r="886">
      <c r="A886" s="24"/>
    </row>
    <row r="887">
      <c r="A887" s="24"/>
    </row>
    <row r="888">
      <c r="A888" s="24"/>
    </row>
    <row r="889">
      <c r="A889" s="24"/>
    </row>
    <row r="890">
      <c r="A890" s="24"/>
    </row>
    <row r="891">
      <c r="A891" s="24"/>
    </row>
    <row r="892">
      <c r="A892" s="24"/>
    </row>
    <row r="893">
      <c r="A893" s="24"/>
    </row>
    <row r="894">
      <c r="A894" s="24"/>
    </row>
    <row r="895">
      <c r="A895" s="24"/>
    </row>
    <row r="896">
      <c r="A896" s="24"/>
    </row>
    <row r="897">
      <c r="A897" s="24"/>
    </row>
    <row r="898">
      <c r="A898" s="24"/>
    </row>
    <row r="899">
      <c r="A899" s="24"/>
    </row>
    <row r="900">
      <c r="A900" s="24"/>
    </row>
    <row r="901">
      <c r="A901" s="24"/>
    </row>
    <row r="902">
      <c r="A902" s="24"/>
    </row>
    <row r="903">
      <c r="A903" s="24"/>
    </row>
    <row r="904">
      <c r="A904" s="24"/>
    </row>
    <row r="905">
      <c r="A905" s="24"/>
    </row>
    <row r="906">
      <c r="A906" s="24"/>
    </row>
    <row r="907">
      <c r="A907" s="24"/>
    </row>
    <row r="908">
      <c r="A908" s="24"/>
    </row>
    <row r="909">
      <c r="A909" s="24"/>
    </row>
    <row r="910">
      <c r="A910" s="24"/>
    </row>
    <row r="911">
      <c r="A911" s="24"/>
    </row>
    <row r="912">
      <c r="A912" s="24"/>
    </row>
    <row r="913">
      <c r="A913" s="24"/>
    </row>
    <row r="914">
      <c r="A914" s="24"/>
    </row>
    <row r="915">
      <c r="A915" s="24"/>
    </row>
    <row r="916">
      <c r="A916" s="24"/>
    </row>
    <row r="917">
      <c r="A917" s="24"/>
    </row>
    <row r="918">
      <c r="A918" s="24"/>
    </row>
    <row r="919">
      <c r="A919" s="24"/>
    </row>
    <row r="920">
      <c r="A920" s="24"/>
    </row>
    <row r="921">
      <c r="A921" s="24"/>
    </row>
    <row r="922">
      <c r="A922" s="24"/>
    </row>
    <row r="923">
      <c r="A923" s="24"/>
    </row>
    <row r="924">
      <c r="A924" s="24"/>
    </row>
    <row r="925">
      <c r="A925" s="24"/>
    </row>
    <row r="926">
      <c r="A926" s="24"/>
    </row>
    <row r="927">
      <c r="A927" s="24"/>
    </row>
    <row r="928">
      <c r="A928" s="24"/>
    </row>
    <row r="929">
      <c r="A929" s="24"/>
    </row>
    <row r="930">
      <c r="A930" s="24"/>
    </row>
    <row r="931">
      <c r="A931" s="24"/>
    </row>
    <row r="932">
      <c r="A932" s="24"/>
    </row>
    <row r="933">
      <c r="A933" s="24"/>
    </row>
    <row r="934">
      <c r="A934" s="24"/>
    </row>
    <row r="935">
      <c r="A935" s="24"/>
    </row>
    <row r="936">
      <c r="A936" s="24"/>
    </row>
    <row r="937">
      <c r="A937" s="24"/>
    </row>
    <row r="938">
      <c r="A938" s="24"/>
    </row>
    <row r="939">
      <c r="A939" s="24"/>
    </row>
    <row r="940">
      <c r="A940" s="24"/>
    </row>
    <row r="941">
      <c r="A941" s="24"/>
    </row>
    <row r="942">
      <c r="A942" s="24"/>
    </row>
    <row r="943">
      <c r="A943" s="24"/>
    </row>
    <row r="944">
      <c r="A944" s="24"/>
    </row>
    <row r="945">
      <c r="A945" s="24"/>
    </row>
    <row r="946">
      <c r="A946" s="24"/>
    </row>
    <row r="947">
      <c r="A947" s="24"/>
    </row>
    <row r="948">
      <c r="A948" s="24"/>
    </row>
    <row r="949">
      <c r="A949" s="24"/>
    </row>
    <row r="950">
      <c r="A950" s="24"/>
    </row>
    <row r="951">
      <c r="A951" s="24"/>
    </row>
    <row r="952">
      <c r="A952" s="24"/>
    </row>
    <row r="953">
      <c r="A953" s="24"/>
    </row>
    <row r="954">
      <c r="A954" s="24"/>
    </row>
    <row r="955">
      <c r="A955" s="24"/>
    </row>
    <row r="956">
      <c r="A956" s="24"/>
    </row>
    <row r="957">
      <c r="A957" s="24"/>
    </row>
    <row r="958">
      <c r="A958" s="24"/>
    </row>
    <row r="959">
      <c r="A959" s="24"/>
    </row>
    <row r="960">
      <c r="A960" s="24"/>
    </row>
    <row r="961">
      <c r="A961" s="24"/>
    </row>
    <row r="962">
      <c r="A962" s="24"/>
    </row>
    <row r="963">
      <c r="A963" s="24"/>
    </row>
    <row r="964">
      <c r="A964" s="24"/>
    </row>
    <row r="965">
      <c r="A965" s="24"/>
    </row>
    <row r="966">
      <c r="A966" s="24"/>
    </row>
    <row r="967">
      <c r="A967" s="24"/>
    </row>
    <row r="968">
      <c r="A968" s="24"/>
    </row>
    <row r="969">
      <c r="A969" s="24"/>
    </row>
    <row r="970">
      <c r="A970" s="24"/>
    </row>
    <row r="971">
      <c r="A971" s="24"/>
    </row>
    <row r="972">
      <c r="A972" s="24"/>
    </row>
    <row r="973">
      <c r="A973" s="24"/>
    </row>
    <row r="974">
      <c r="A974" s="24"/>
    </row>
    <row r="975">
      <c r="A975" s="24"/>
    </row>
    <row r="976">
      <c r="A976" s="24"/>
    </row>
    <row r="977">
      <c r="A977" s="24"/>
    </row>
    <row r="978">
      <c r="A978" s="24"/>
    </row>
    <row r="979">
      <c r="A979" s="24"/>
    </row>
    <row r="980">
      <c r="A980" s="24"/>
    </row>
    <row r="981">
      <c r="A981" s="24"/>
    </row>
    <row r="982">
      <c r="A982" s="24"/>
    </row>
    <row r="983">
      <c r="A983" s="24"/>
    </row>
    <row r="984">
      <c r="A984" s="24"/>
    </row>
    <row r="985">
      <c r="A985" s="24"/>
    </row>
    <row r="986">
      <c r="A986" s="24"/>
    </row>
    <row r="987">
      <c r="A987" s="24"/>
    </row>
    <row r="988">
      <c r="A988" s="24"/>
    </row>
    <row r="989">
      <c r="A989" s="24"/>
    </row>
    <row r="990">
      <c r="A990" s="24"/>
    </row>
    <row r="991">
      <c r="A991" s="24"/>
    </row>
    <row r="992">
      <c r="A992" s="24"/>
    </row>
    <row r="993">
      <c r="A993" s="24"/>
    </row>
    <row r="994">
      <c r="A994" s="24"/>
    </row>
    <row r="995">
      <c r="A995" s="24"/>
    </row>
    <row r="996">
      <c r="A996" s="24"/>
    </row>
    <row r="997">
      <c r="A997" s="24"/>
    </row>
    <row r="998">
      <c r="A998" s="24"/>
    </row>
    <row r="999">
      <c r="A999" s="24"/>
    </row>
    <row r="1000">
      <c r="A1000" s="24"/>
    </row>
    <row r="1001">
      <c r="A1001" s="24"/>
    </row>
    <row r="1002">
      <c r="A1002" s="24"/>
    </row>
  </sheetData>
  <drawing r:id="rId1"/>
</worksheet>
</file>