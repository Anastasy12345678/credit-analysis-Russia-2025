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stasiia\Downloads\"/>
    </mc:Choice>
  </mc:AlternateContent>
  <xr:revisionPtr revIDLastSave="0" documentId="13_ncr:1_{23B42C93-43D5-4474-848D-7D4A0B7220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редиты физ лицам 2025 год по м" sheetId="1" r:id="rId1"/>
    <sheet name="Анализ" sheetId="2" r:id="rId2"/>
    <sheet name="Объем кредитов по регионам" sheetId="3" r:id="rId3"/>
    <sheet name="Доля регионов в объеме кредитов" sheetId="4" r:id="rId4"/>
    <sheet name="Объем и задолженность по округа" sheetId="5" r:id="rId5"/>
    <sheet name="Примечания" sheetId="6" r:id="rId6"/>
  </sheet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2" l="1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89" i="1"/>
  <c r="C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D8" i="2" s="1"/>
  <c r="C2" i="1"/>
  <c r="C8" i="2" s="1"/>
  <c r="B2" i="1"/>
  <c r="C5" i="2" l="1"/>
  <c r="D5" i="2"/>
  <c r="C6" i="2"/>
  <c r="D6" i="2"/>
  <c r="C7" i="2"/>
  <c r="D7" i="2"/>
  <c r="C4" i="2"/>
  <c r="D4" i="2"/>
</calcChain>
</file>

<file path=xl/sharedStrings.xml><?xml version="1.0" encoding="utf-8"?>
<sst xmlns="http://schemas.openxmlformats.org/spreadsheetml/2006/main" count="583" uniqueCount="186">
  <si>
    <t>Регионы</t>
  </si>
  <si>
    <t>Федеральные округа</t>
  </si>
  <si>
    <t>Объем общее (млн руб)</t>
  </si>
  <si>
    <t>Задолженность общее  (млн руб)</t>
  </si>
  <si>
    <t>Январь объем  (млн руб)</t>
  </si>
  <si>
    <t>Январь задолженность  (млн руб)</t>
  </si>
  <si>
    <t>Февраль объем  (млн руб)</t>
  </si>
  <si>
    <t>Февраль задолженность  (млн руб)</t>
  </si>
  <si>
    <t>Март объем  (млн руб)</t>
  </si>
  <si>
    <t>Март задолженность  (млн руб)</t>
  </si>
  <si>
    <t>Апрель объем  (млн руб)</t>
  </si>
  <si>
    <t>Апрель задолженность  (млн руб)</t>
  </si>
  <si>
    <t>Май объем  (млн руб)</t>
  </si>
  <si>
    <t>Май задолженность  (млн руб)</t>
  </si>
  <si>
    <t>Июнь объем  (млн руб)</t>
  </si>
  <si>
    <t>Июнь задолженность  (млн руб)</t>
  </si>
  <si>
    <t>Июль объем  (млн руб)</t>
  </si>
  <si>
    <t>Июль задолженность  (млн руб)</t>
  </si>
  <si>
    <t>Август объем  (млн руб)</t>
  </si>
  <si>
    <t>Август задолженность  (млн руб)</t>
  </si>
  <si>
    <t>Сентябрь объем  (млн руб)</t>
  </si>
  <si>
    <t>Сентябрь задолженность  (млн руб)</t>
  </si>
  <si>
    <t>Октябрь объем  (млн руб)</t>
  </si>
  <si>
    <t>Октябрь задолженность  (млн руб)</t>
  </si>
  <si>
    <t>Ноябрь объем  (млн руб)</t>
  </si>
  <si>
    <t>Ноябрь задолженность  (млн руб)</t>
  </si>
  <si>
    <t>Декабрь объем  (млн руб)</t>
  </si>
  <si>
    <t>Декабрь задолженность  (млн руб)</t>
  </si>
  <si>
    <t>г. Москва</t>
  </si>
  <si>
    <t>Московская область</t>
  </si>
  <si>
    <t>г. Санкт-Петербург</t>
  </si>
  <si>
    <t>Краснодарский край</t>
  </si>
  <si>
    <t>Тюменская область</t>
  </si>
  <si>
    <t>Свердловская область</t>
  </si>
  <si>
    <t>Республика Татарстан (Татарстан)</t>
  </si>
  <si>
    <t>Республика Башкортостан</t>
  </si>
  <si>
    <t>Ростовская область</t>
  </si>
  <si>
    <t>Челябинская область</t>
  </si>
  <si>
    <t>Новосибирская область</t>
  </si>
  <si>
    <t>Самарская область</t>
  </si>
  <si>
    <t>Нижегородская область</t>
  </si>
  <si>
    <t>Красноярский край</t>
  </si>
  <si>
    <t>Пермский край</t>
  </si>
  <si>
    <t>Иркутская область</t>
  </si>
  <si>
    <t>в том числе Ханты-Мансийский автономный округ - Югра</t>
  </si>
  <si>
    <t>Ленинградская область</t>
  </si>
  <si>
    <t>Тюменская область без данных по Ханты-Мансийскому автономному округу - Югре и Ямало-Ненецкому автономному округу</t>
  </si>
  <si>
    <t>Кемеровская область - Кузбасс</t>
  </si>
  <si>
    <t>Ставропольский край</t>
  </si>
  <si>
    <t>Воронежская область</t>
  </si>
  <si>
    <t>Приморский край</t>
  </si>
  <si>
    <t>Волгоградская область</t>
  </si>
  <si>
    <t>Саратовская область</t>
  </si>
  <si>
    <t>Оренбургская область</t>
  </si>
  <si>
    <t>Алтайский край</t>
  </si>
  <si>
    <t>Омская область</t>
  </si>
  <si>
    <t>Удмуртская Республика</t>
  </si>
  <si>
    <t>Хабаровский край</t>
  </si>
  <si>
    <t>Тульская область</t>
  </si>
  <si>
    <t>Белгородская область</t>
  </si>
  <si>
    <t>Республика Крым</t>
  </si>
  <si>
    <t>Калининградская область</t>
  </si>
  <si>
    <t>Республика Саха (Якутия)</t>
  </si>
  <si>
    <t>Чувашская Республика - Чувашия</t>
  </si>
  <si>
    <t>Архангельская область</t>
  </si>
  <si>
    <t>Владимирская область</t>
  </si>
  <si>
    <t>Архангельская область без данных по Ненецкому автономному округу</t>
  </si>
  <si>
    <t>Ярославская область</t>
  </si>
  <si>
    <t>Тверская область</t>
  </si>
  <si>
    <t>Кировская область</t>
  </si>
  <si>
    <t>Вологодская область</t>
  </si>
  <si>
    <t>Томская область</t>
  </si>
  <si>
    <t>Республика Бурятия</t>
  </si>
  <si>
    <t>Калужская область</t>
  </si>
  <si>
    <t>Пензенская область</t>
  </si>
  <si>
    <t>Ульяновская область</t>
  </si>
  <si>
    <t>Рязанская область</t>
  </si>
  <si>
    <t>Забайкальский край</t>
  </si>
  <si>
    <t>Липецкая область</t>
  </si>
  <si>
    <t>Мурманская область</t>
  </si>
  <si>
    <t>в том числе Ямало-Ненецкий автономный округ</t>
  </si>
  <si>
    <t>Брянская область</t>
  </si>
  <si>
    <t>Курская область</t>
  </si>
  <si>
    <t>Астраханская область</t>
  </si>
  <si>
    <t>Республика Дагестан</t>
  </si>
  <si>
    <t>Республика Коми</t>
  </si>
  <si>
    <t>Амурская область</t>
  </si>
  <si>
    <t>Смоленская область</t>
  </si>
  <si>
    <t>Ивановская область</t>
  </si>
  <si>
    <t>Тамбовская область</t>
  </si>
  <si>
    <t>Курганская область</t>
  </si>
  <si>
    <t>Сахалинская область</t>
  </si>
  <si>
    <t>Орловская область</t>
  </si>
  <si>
    <t>Республика Карелия</t>
  </si>
  <si>
    <t>Республика Мордовия</t>
  </si>
  <si>
    <t>Республика Марий Эл</t>
  </si>
  <si>
    <t>Костромская область</t>
  </si>
  <si>
    <t>Республика Хакасия</t>
  </si>
  <si>
    <t>Псковская область</t>
  </si>
  <si>
    <t>Новгородская область</t>
  </si>
  <si>
    <t>Республика Северная Осетия - Алания</t>
  </si>
  <si>
    <t>Республика Адыгея (Адыгея)</t>
  </si>
  <si>
    <t>Камчатский край</t>
  </si>
  <si>
    <t>Кабардино-Балкарская Республика</t>
  </si>
  <si>
    <t>г. Севастополь</t>
  </si>
  <si>
    <t>Республика Калмыкия</t>
  </si>
  <si>
    <t>Чеченская Республика</t>
  </si>
  <si>
    <t>Республика Тыва</t>
  </si>
  <si>
    <t>Карачаево-Черкесская Республика</t>
  </si>
  <si>
    <t>Магаданская область</t>
  </si>
  <si>
    <t>Республика Алтай</t>
  </si>
  <si>
    <t>Еврейская автономная область</t>
  </si>
  <si>
    <t>Чукотский автономный округ</t>
  </si>
  <si>
    <t>Республика Ингушетия</t>
  </si>
  <si>
    <t>в том числе Ненецкий автономный округ</t>
  </si>
  <si>
    <t>РОССИЙСКАЯ ФЕДЕРАЦИЯ</t>
  </si>
  <si>
    <t>Анализ данных по кредитам</t>
  </si>
  <si>
    <t>Цель: выявить ключевые закономерности и посмотреть, как объем выданных кредитов распределяется по регионам и месяцам</t>
  </si>
  <si>
    <t>Метрика</t>
  </si>
  <si>
    <t>Объем общее</t>
  </si>
  <si>
    <t>Задолженность общее</t>
  </si>
  <si>
    <t>Январь объем</t>
  </si>
  <si>
    <t>Январь задолженность</t>
  </si>
  <si>
    <t>Февраль объем</t>
  </si>
  <si>
    <t>Февраль задолженность</t>
  </si>
  <si>
    <t>Март объем</t>
  </si>
  <si>
    <t>Март задолженность</t>
  </si>
  <si>
    <t>Апрель объем</t>
  </si>
  <si>
    <t>Апрель задолженность</t>
  </si>
  <si>
    <t>Май объем</t>
  </si>
  <si>
    <t>Май задолженность</t>
  </si>
  <si>
    <t>Июнь объем</t>
  </si>
  <si>
    <t>Июнь задолженность</t>
  </si>
  <si>
    <t>Июль объем</t>
  </si>
  <si>
    <t>Июль задолженность</t>
  </si>
  <si>
    <t>Август объем</t>
  </si>
  <si>
    <t>Август задолженность</t>
  </si>
  <si>
    <t>Сентябрь объем</t>
  </si>
  <si>
    <t>Сентябрь задолженность</t>
  </si>
  <si>
    <t>Октябрь объем</t>
  </si>
  <si>
    <t>Октябрь задолженность</t>
  </si>
  <si>
    <t>Ноябрь объем</t>
  </si>
  <si>
    <t>Ноябрь задолженность</t>
  </si>
  <si>
    <t>Декабрь объем</t>
  </si>
  <si>
    <t>Декабрь задолженность</t>
  </si>
  <si>
    <t>Среднее значение</t>
  </si>
  <si>
    <t>Медиана</t>
  </si>
  <si>
    <t>Мода</t>
  </si>
  <si>
    <t>Минимум</t>
  </si>
  <si>
    <t>Максимум</t>
  </si>
  <si>
    <t>Вывод: Наибольшее среднее значение по объему выданных кредитов наблюдается в декабре 2025 года, по задолженности - тоже в декабре. Медиана по объему и задолженности растет от начала к концу года. Моду вычислить не представляется возможным, так как значения не повторяются. Минимальное значение по объему выданных кредитов наблюдается в январе, по задолженности значение меняется не критично и остается в области 12000 млн рублей. Максимальное значение по объему выданных кредитов наблюдается в декабре и достигает 32000 млн рублей, по задолженности - варьируется в области 42000-44000 млн рублей на протяжении 2025 года.</t>
  </si>
  <si>
    <t>ТОП-5 лидеров регионов по объему выданных кредитов и задолженности</t>
  </si>
  <si>
    <t>Объем</t>
  </si>
  <si>
    <t>Задолженность</t>
  </si>
  <si>
    <t>Вывод: Лидером и по объему выданных кредитов, и по объему задолженности в 2025 году является Москва, она занимает 12,57% от общего объема выданных кредитов среди регионов. Лидерами в 2025 году также стали Московская область, Санкт-Петербург, Краснодарский край и Тюменская область.</t>
  </si>
  <si>
    <t>ТОП-5 антилидеров регионов по объему выданных кредитов и задолженности</t>
  </si>
  <si>
    <t>Ненецкий автономный округ</t>
  </si>
  <si>
    <t>Вывод: Антилидером и по объему выданных кредитов, и по объему задолженности в 2025 году является Ненецкий автономный округ, он занимает 0,03% от общего объема выданных кредитов среди регионов. Антилидерами в 2025 году также стали республика Ингушентия, Чукотский автономный округ, Еврейская автономная область и республика Алтай.</t>
  </si>
  <si>
    <t>Вывод: Динамика положительная и объем выданных кредитов растет от начала к концу года. Всего за год он составил, таким образом, 23 930 025 млн рублей.</t>
  </si>
  <si>
    <t>Вывод: стабильно самая большая доля по объему выданных кредитов пренадлежит Москве -- в области 12%, а иногда и 13% от общего объема. Остальные регионы составляют часто меньше 1% от общего объема выданных кредитов, и только некоторые занимают 1-2%.</t>
  </si>
  <si>
    <t>Вывод: объем выданных кредитов в ЦФО в два раза больше, чем в ПФО и в УФО и в 3 раза больше, чем в ЮФО, в СФО и в СЗФО. Самая высокая задолженность тоже у ЦФО, она составляет 127 253 596 млн рублей, что примерно в два раза больше, чем в УФО, ПФО и в СФО. Наблюдается прямая зависимость между объемом выданных кредитов и задолженнностью, при этом общая задолженность превышает общий объем выданных кредитов в 19 раз.</t>
  </si>
  <si>
    <t>ЦФО</t>
  </si>
  <si>
    <t>ЮФО</t>
  </si>
  <si>
    <t>СЗФО</t>
  </si>
  <si>
    <t>ДФО</t>
  </si>
  <si>
    <t>СФО</t>
  </si>
  <si>
    <t>УФО</t>
  </si>
  <si>
    <t>ПФО</t>
  </si>
  <si>
    <t>СКФО</t>
  </si>
  <si>
    <t>Республика Северная Осетия — Алания</t>
  </si>
  <si>
    <t/>
  </si>
  <si>
    <t>SUM of Объем общее (млн руб)</t>
  </si>
  <si>
    <t>SUM of Февраль объем  (млн руб)</t>
  </si>
  <si>
    <t>SUM of Март объем  (млн руб)</t>
  </si>
  <si>
    <t>SUM of Апрель объем  (млн руб)</t>
  </si>
  <si>
    <t>SUM of Май объем  (млн руб)</t>
  </si>
  <si>
    <t>SUM of Июнь объем  (млн руб)</t>
  </si>
  <si>
    <t>SUM of Июль объем  (млн руб)</t>
  </si>
  <si>
    <t>SUM of Август объем  (млн руб)</t>
  </si>
  <si>
    <t>SUM of Сентябрь объем  (млн руб)</t>
  </si>
  <si>
    <t>SUM of Октябрь объем  (млн руб)</t>
  </si>
  <si>
    <t>SUM of Ноябрь объем  (млн руб)</t>
  </si>
  <si>
    <t>SUM of Декабрь объем  (млн руб)</t>
  </si>
  <si>
    <t>Общий итог</t>
  </si>
  <si>
    <t>SUM of Январь объем  (млн руб)</t>
  </si>
  <si>
    <t>SUM of Задолженность общее  (млн 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</si>
</sst>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1"/>
      <color rgb="FF000000"/>
      <name val="&quot;YS Text&quot;"/>
    </font>
    <font>
      <sz val="11"/>
      <color rgb="FF000000"/>
      <name val="Arial"/>
    </font>
    <font>
      <sz val="11"/>
      <color rgb="FF34343C"/>
      <name val="&quot;YS Text&quot;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9" fontId="0" fillId="0" borderId="1" xfId="0" applyNumberFormat="1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49" fontId="0" fillId="0" borderId="6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49" fontId="0" fillId="0" borderId="8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10" fontId="0" fillId="0" borderId="1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0" xfId="0" applyNumberFormat="1"/>
    <xf numFmtId="10" fontId="0" fillId="0" borderId="7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10" fontId="0" fillId="0" borderId="10" xfId="0" applyNumberFormat="1" applyBorder="1"/>
    <xf numFmtId="0" fontId="0" fillId="0" borderId="1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astasiia" refreshedDate="46102.594514467593" refreshedVersion="8" recordCount="87" xr:uid="{00000000-000A-0000-FFFF-FFFF00000000}">
  <cacheSource type="worksheet">
    <worksheetSource ref="A1:AB88" sheet="Кредиты физ лицам 2025 год по м"/>
  </cacheSource>
  <cacheFields count="28">
    <cacheField name="Регионы" numFmtId="49">
      <sharedItems count="87">
        <s v="г. Москва"/>
        <s v="Московская область"/>
        <s v="г. Санкт-Петербург"/>
        <s v="Краснодарский край"/>
        <s v="Тюменская область"/>
        <s v="Свердловская область"/>
        <s v="Республика Татарстан (Татарстан)"/>
        <s v="Республика Башкортостан"/>
        <s v="Ростовская область"/>
        <s v="Челябинская область"/>
        <s v="Новосибирская область"/>
        <s v="Самарская область"/>
        <s v="Нижегородская область"/>
        <s v="Красноярский край"/>
        <s v="Пермский край"/>
        <s v="Иркутская область"/>
        <s v="в том числе Ханты-Мансийский автономный округ - Югра"/>
        <s v="Ленинградская область"/>
        <s v="Тюменская область без данных по Ханты-Мансийскому автономному округу - Югре и Ямало-Ненецкому автономному округу"/>
        <s v="Кемеровская область - Кузбасс"/>
        <s v="Ставропольский край"/>
        <s v="Воронежская область"/>
        <s v="Приморский край"/>
        <s v="Волгоградская область"/>
        <s v="Саратовская область"/>
        <s v="Оренбургская область"/>
        <s v="Алтайский край"/>
        <s v="Омская область"/>
        <s v="Удмуртская Республика"/>
        <s v="Хабаровский край"/>
        <s v="Тульская область"/>
        <s v="Белгородская область"/>
        <s v="Республика Крым"/>
        <s v="Калининградская область"/>
        <s v="Республика Саха (Якутия)"/>
        <s v="Чувашская Республика - Чувашия"/>
        <s v="Архангельская область"/>
        <s v="Владимирская область"/>
        <s v="Архангельская область без данных по Ненецкому автономному округу"/>
        <s v="Ярославская область"/>
        <s v="Тверская область"/>
        <s v="Кировская область"/>
        <s v="Вологодская область"/>
        <s v="Томская область"/>
        <s v="Республика Бурятия"/>
        <s v="Калужская область"/>
        <s v="Пензенская область"/>
        <s v="Ульяновская область"/>
        <s v="Рязанская область"/>
        <s v="Забайкальский край"/>
        <s v="Липецкая область"/>
        <s v="Мурманская область"/>
        <s v="в том числе Ямало-Ненецкий автономный округ"/>
        <s v="Брянская область"/>
        <s v="Курская область"/>
        <s v="Астраханская область"/>
        <s v="Республика Дагестан"/>
        <s v="Республика Коми"/>
        <s v="Амурская область"/>
        <s v="Смоленская область"/>
        <s v="Ивановская область"/>
        <s v="Тамбовская область"/>
        <s v="Курганская область"/>
        <s v="Сахалинская область"/>
        <s v="Орловская область"/>
        <s v="Республика Карелия"/>
        <s v="Республика Мордовия"/>
        <s v="Республика Марий Эл"/>
        <s v="Костромская область"/>
        <s v="Республика Хакасия"/>
        <s v="Псковская область"/>
        <s v="Новгородская область"/>
        <s v="Республика Северная Осетия - Алания"/>
        <s v="Республика Адыгея (Адыгея)"/>
        <s v="Камчатский край"/>
        <s v="Кабардино-Балкарская Республика"/>
        <s v="г. Севастополь"/>
        <s v="Республика Калмыкия"/>
        <s v="Чеченская Республика"/>
        <s v="Республика Тыва"/>
        <s v="Карачаево-Черкесская Республика"/>
        <s v="Магаданская область"/>
        <s v="Республика Алтай"/>
        <s v="Еврейская автономная область"/>
        <s v="Чукотский автономный округ"/>
        <s v="Республика Ингушетия"/>
        <s v="в том числе Ненецкий автономный округ"/>
      </sharedItems>
    </cacheField>
    <cacheField name="Федеральные округа" numFmtId="49">
      <sharedItems count="8">
        <s v="ЦФО"/>
        <s v="СЗФО"/>
        <s v="ЮФО"/>
        <s v="УФО"/>
        <s v="ПФО"/>
        <s v="СФО"/>
        <s v="СКФО"/>
        <s v="ДФО"/>
      </sharedItems>
    </cacheField>
    <cacheField name="Объем общее (млн руб)" numFmtId="3">
      <sharedItems containsSemiMixedTypes="0" containsString="0" containsNumber="1" containsInteger="1" minValue="6841" maxValue="3007763"/>
    </cacheField>
    <cacheField name="Задолженность общее  (млн руб)" numFmtId="3">
      <sharedItems containsSemiMixedTypes="0" containsString="0" containsNumber="1" containsInteger="1" minValue="145427" maxValue="51422135"/>
    </cacheField>
    <cacheField name="Январь объем  (млн руб)" numFmtId="3">
      <sharedItems containsSemiMixedTypes="0" containsString="0" containsNumber="1" containsInteger="1" minValue="382" maxValue="186725"/>
    </cacheField>
    <cacheField name="Январь задолженность  (млн руб)" numFmtId="3">
      <sharedItems containsSemiMixedTypes="0" containsString="0" containsNumber="1" containsInteger="1" minValue="12252" maxValue="4208666"/>
    </cacheField>
    <cacheField name="Февраль объем  (млн руб)" numFmtId="3">
      <sharedItems containsSemiMixedTypes="0" containsString="0" containsNumber="1" containsInteger="1" minValue="423" maxValue="205325"/>
    </cacheField>
    <cacheField name="Февраль задолженность  (млн руб)" numFmtId="3">
      <sharedItems containsSemiMixedTypes="0" containsString="0" containsNumber="1" containsInteger="1" minValue="12180" maxValue="4209311"/>
    </cacheField>
    <cacheField name="Март объем  (млн руб)" numFmtId="3">
      <sharedItems containsSemiMixedTypes="0" containsString="0" containsNumber="1" containsInteger="1" minValue="512" maxValue="232037"/>
    </cacheField>
    <cacheField name="Март задолженность  (млн руб)" numFmtId="3">
      <sharedItems containsSemiMixedTypes="0" containsString="0" containsNumber="1" containsInteger="1" minValue="12143" maxValue="4218232"/>
    </cacheField>
    <cacheField name="Апрель объем  (млн руб)" numFmtId="3">
      <sharedItems containsSemiMixedTypes="0" containsString="0" containsNumber="1" containsInteger="1" minValue="489" maxValue="231562"/>
    </cacheField>
    <cacheField name="Апрель задолженность  (млн руб)" numFmtId="3">
      <sharedItems containsSemiMixedTypes="0" containsString="0" containsNumber="1" containsInteger="1" minValue="12077" maxValue="4223317"/>
    </cacheField>
    <cacheField name="Май объем  (млн руб)" numFmtId="3">
      <sharedItems containsSemiMixedTypes="0" containsString="0" containsNumber="1" containsInteger="1" minValue="469" maxValue="230539"/>
    </cacheField>
    <cacheField name="Май задолженность  (млн руб)" numFmtId="3">
      <sharedItems containsSemiMixedTypes="0" containsString="0" containsNumber="1" containsInteger="1" minValue="12019" maxValue="4239331"/>
    </cacheField>
    <cacheField name="Июнь объем  (млн руб)" numFmtId="3">
      <sharedItems containsSemiMixedTypes="0" containsString="0" containsNumber="1" containsInteger="1" minValue="594" maxValue="235787"/>
    </cacheField>
    <cacheField name="Июнь задолженность  (млн руб)" numFmtId="3">
      <sharedItems containsSemiMixedTypes="0" containsString="0" containsNumber="1" containsInteger="1" minValue="12003" maxValue="4248421"/>
    </cacheField>
    <cacheField name="Июль объем  (млн руб)" numFmtId="3">
      <sharedItems containsSemiMixedTypes="0" containsString="0" containsNumber="1" containsInteger="1" minValue="656" maxValue="252022"/>
    </cacheField>
    <cacheField name="Июль задолженность  (млн руб)" numFmtId="3">
      <sharedItems containsSemiMixedTypes="0" containsString="0" containsNumber="1" containsInteger="1" minValue="12011" maxValue="4265347"/>
    </cacheField>
    <cacheField name="Август объем  (млн руб)" numFmtId="3">
      <sharedItems containsSemiMixedTypes="0" containsString="0" containsNumber="1" containsInteger="1" minValue="680" maxValue="264348"/>
    </cacheField>
    <cacheField name="Август задолженность  (млн руб)" numFmtId="3">
      <sharedItems containsSemiMixedTypes="0" containsString="0" containsNumber="1" containsInteger="1" minValue="12102" maxValue="4295817"/>
    </cacheField>
    <cacheField name="Сентябрь объем  (млн руб)" numFmtId="3">
      <sharedItems containsSemiMixedTypes="0" containsString="0" containsNumber="1" containsInteger="1" minValue="654" maxValue="269103"/>
    </cacheField>
    <cacheField name="Сентябрь задолженность  (млн руб)" numFmtId="3">
      <sharedItems containsSemiMixedTypes="0" containsString="0" containsNumber="1" containsInteger="1" minValue="12165" maxValue="4333273"/>
    </cacheField>
    <cacheField name="Октябрь объем  (млн руб)" numFmtId="3">
      <sharedItems containsSemiMixedTypes="0" containsString="0" containsNumber="1" containsInteger="1" minValue="643" maxValue="284678"/>
    </cacheField>
    <cacheField name="Октябрь задолженность  (млн руб)" numFmtId="3">
      <sharedItems containsSemiMixedTypes="0" containsString="0" containsNumber="1" containsInteger="1" minValue="12197" maxValue="4370468"/>
    </cacheField>
    <cacheField name="Ноябрь объем  (млн руб)" numFmtId="3">
      <sharedItems containsSemiMixedTypes="0" containsString="0" containsNumber="1" containsInteger="1" minValue="602" maxValue="288975"/>
    </cacheField>
    <cacheField name="Ноябрь задолженность  (млн руб)" numFmtId="3">
      <sharedItems containsSemiMixedTypes="0" containsString="0" containsNumber="1" containsInteger="1" minValue="12165" maxValue="4400824"/>
    </cacheField>
    <cacheField name="Декабрь объем  (млн руб)" numFmtId="3">
      <sharedItems containsSemiMixedTypes="0" containsString="0" containsNumber="1" containsInteger="1" minValue="737" maxValue="326662"/>
    </cacheField>
    <cacheField name="Декабрь задолженность  (млн руб)" numFmtId="3">
      <sharedItems containsSemiMixedTypes="0" containsString="0" containsNumber="1" containsInteger="1" minValue="12113" maxValue="4409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n v="3007763"/>
    <n v="51422135"/>
    <n v="186725"/>
    <n v="4208666"/>
    <n v="205325"/>
    <n v="4209311"/>
    <n v="232037"/>
    <n v="4218232"/>
    <n v="231562"/>
    <n v="4223317"/>
    <n v="230539"/>
    <n v="4239331"/>
    <n v="235787"/>
    <n v="4248421"/>
    <n v="252022"/>
    <n v="4265347"/>
    <n v="264348"/>
    <n v="4295817"/>
    <n v="269103"/>
    <n v="4333273"/>
    <n v="284678"/>
    <n v="4370468"/>
    <n v="288975"/>
    <n v="4400824"/>
    <n v="326662"/>
    <n v="4409128"/>
  </r>
  <r>
    <x v="1"/>
    <x v="0"/>
    <n v="1804595"/>
    <n v="34616205"/>
    <n v="111429"/>
    <n v="2855222"/>
    <n v="120510"/>
    <n v="2849673"/>
    <n v="136117"/>
    <n v="2851648"/>
    <n v="135141"/>
    <n v="2853129"/>
    <n v="139810"/>
    <n v="2864894"/>
    <n v="141043"/>
    <n v="2866710"/>
    <n v="153628"/>
    <n v="2862520"/>
    <n v="163586"/>
    <n v="2886151"/>
    <n v="161819"/>
    <n v="2904394"/>
    <n v="174045"/>
    <n v="2930016"/>
    <n v="171036"/>
    <n v="2943239"/>
    <n v="196431"/>
    <n v="2948609"/>
  </r>
  <r>
    <x v="2"/>
    <x v="1"/>
    <n v="1260287"/>
    <n v="22320395"/>
    <n v="75195"/>
    <n v="1830749"/>
    <n v="82778"/>
    <n v="1826667"/>
    <n v="93989"/>
    <n v="1828352"/>
    <n v="94296"/>
    <n v="1831717"/>
    <n v="96291"/>
    <n v="1839821"/>
    <n v="98542"/>
    <n v="1846241"/>
    <n v="104593"/>
    <n v="1844711"/>
    <n v="111507"/>
    <n v="1859723"/>
    <n v="115583"/>
    <n v="1878060"/>
    <n v="122128"/>
    <n v="1896175"/>
    <n v="120759"/>
    <n v="1909919"/>
    <n v="144626"/>
    <n v="1928260"/>
  </r>
  <r>
    <x v="3"/>
    <x v="2"/>
    <n v="950912"/>
    <n v="18679592"/>
    <n v="59494"/>
    <n v="1530523"/>
    <n v="62019"/>
    <n v="1527763"/>
    <n v="72505"/>
    <n v="1531028"/>
    <n v="71303"/>
    <n v="1534060"/>
    <n v="72845"/>
    <n v="1540875"/>
    <n v="75024"/>
    <n v="1545883"/>
    <n v="80938"/>
    <n v="1548264"/>
    <n v="84200"/>
    <n v="1558101"/>
    <n v="83199"/>
    <n v="1568795"/>
    <n v="91344"/>
    <n v="1584377"/>
    <n v="89839"/>
    <n v="1596253"/>
    <n v="108202"/>
    <n v="1613670"/>
  </r>
  <r>
    <x v="4"/>
    <x v="3"/>
    <n v="834483"/>
    <n v="17587655"/>
    <n v="48313"/>
    <n v="1454366"/>
    <n v="52342"/>
    <n v="1449306"/>
    <n v="59943"/>
    <n v="1447376"/>
    <n v="64147"/>
    <n v="1447788"/>
    <n v="64015"/>
    <n v="1452376"/>
    <n v="66498"/>
    <n v="1453169"/>
    <n v="74172"/>
    <n v="1451768"/>
    <n v="79311"/>
    <n v="1468076"/>
    <n v="74038"/>
    <n v="1475802"/>
    <n v="81525"/>
    <n v="1489303"/>
    <n v="78653"/>
    <n v="1498053"/>
    <n v="91526"/>
    <n v="1500272"/>
  </r>
  <r>
    <x v="5"/>
    <x v="3"/>
    <n v="735598"/>
    <n v="13172610"/>
    <n v="45186"/>
    <n v="1088021"/>
    <n v="47782"/>
    <n v="1083727"/>
    <n v="54263"/>
    <n v="1082831"/>
    <n v="54368"/>
    <n v="1084501"/>
    <n v="55758"/>
    <n v="1088230"/>
    <n v="58471"/>
    <n v="1088509"/>
    <n v="62885"/>
    <n v="1086247"/>
    <n v="66749"/>
    <n v="1096564"/>
    <n v="66010"/>
    <n v="1104926"/>
    <n v="72535"/>
    <n v="1117833"/>
    <n v="69264"/>
    <n v="1122543"/>
    <n v="82327"/>
    <n v="1128678"/>
  </r>
  <r>
    <x v="6"/>
    <x v="4"/>
    <n v="652959"/>
    <n v="13558441"/>
    <n v="36151"/>
    <n v="1109504"/>
    <n v="40307"/>
    <n v="1106154"/>
    <n v="47019"/>
    <n v="1106308"/>
    <n v="47361"/>
    <n v="1108802"/>
    <n v="49433"/>
    <n v="1114553"/>
    <n v="49967"/>
    <n v="1116400"/>
    <n v="55958"/>
    <n v="1118820"/>
    <n v="58997"/>
    <n v="1130953"/>
    <n v="59303"/>
    <n v="1140409"/>
    <n v="67991"/>
    <n v="1157094"/>
    <n v="63876"/>
    <n v="1168347"/>
    <n v="76596"/>
    <n v="1181097"/>
  </r>
  <r>
    <x v="7"/>
    <x v="4"/>
    <n v="596428"/>
    <n v="12573577"/>
    <n v="34209"/>
    <n v="1041904"/>
    <n v="37233"/>
    <n v="1037421"/>
    <n v="42691"/>
    <n v="1035648"/>
    <n v="44222"/>
    <n v="1034469"/>
    <n v="45119"/>
    <n v="1037494"/>
    <n v="46920"/>
    <n v="1038237"/>
    <n v="51768"/>
    <n v="1035439"/>
    <n v="55642"/>
    <n v="1046508"/>
    <n v="52663"/>
    <n v="1053690"/>
    <n v="58900"/>
    <n v="1063006"/>
    <n v="57004"/>
    <n v="1070727"/>
    <n v="70057"/>
    <n v="1079034"/>
  </r>
  <r>
    <x v="8"/>
    <x v="2"/>
    <n v="589286"/>
    <n v="10495448"/>
    <n v="35128"/>
    <n v="862591"/>
    <n v="36545"/>
    <n v="859371"/>
    <n v="42987"/>
    <n v="860045"/>
    <n v="44079"/>
    <n v="862042"/>
    <n v="45029"/>
    <n v="866282"/>
    <n v="45906"/>
    <n v="867493"/>
    <n v="49471"/>
    <n v="866324"/>
    <n v="52119"/>
    <n v="874118"/>
    <n v="51007"/>
    <n v="879884"/>
    <n v="57069"/>
    <n v="889344"/>
    <n v="56925"/>
    <n v="897208"/>
    <n v="73021"/>
    <n v="910746"/>
  </r>
  <r>
    <x v="9"/>
    <x v="3"/>
    <n v="508567"/>
    <n v="8701496"/>
    <n v="30583"/>
    <n v="721272"/>
    <n v="33054"/>
    <n v="717953"/>
    <n v="37500"/>
    <n v="716616"/>
    <n v="37471"/>
    <n v="716560"/>
    <n v="38540"/>
    <n v="718736"/>
    <n v="40529"/>
    <n v="718582"/>
    <n v="44057"/>
    <n v="716825"/>
    <n v="47327"/>
    <n v="724698"/>
    <n v="45510"/>
    <n v="729638"/>
    <n v="49529"/>
    <n v="736489"/>
    <n v="47593"/>
    <n v="740176"/>
    <n v="56874"/>
    <n v="743951"/>
  </r>
  <r>
    <x v="10"/>
    <x v="5"/>
    <n v="478363"/>
    <n v="9356891"/>
    <n v="28964"/>
    <n v="775907"/>
    <n v="31224"/>
    <n v="773096"/>
    <n v="36246"/>
    <n v="773350"/>
    <n v="36195"/>
    <n v="774091"/>
    <n v="36900"/>
    <n v="776585"/>
    <n v="38422"/>
    <n v="774824"/>
    <n v="41357"/>
    <n v="773364"/>
    <n v="43659"/>
    <n v="779831"/>
    <n v="41721"/>
    <n v="782704"/>
    <n v="46709"/>
    <n v="789292"/>
    <n v="44379"/>
    <n v="790410"/>
    <n v="52587"/>
    <n v="793437"/>
  </r>
  <r>
    <x v="11"/>
    <x v="4"/>
    <n v="452202"/>
    <n v="7196556"/>
    <n v="27962"/>
    <n v="601169"/>
    <n v="29402"/>
    <n v="597050"/>
    <n v="33763"/>
    <n v="595619"/>
    <n v="33797"/>
    <n v="595025"/>
    <n v="35551"/>
    <n v="596882"/>
    <n v="36181"/>
    <n v="595593"/>
    <n v="39231"/>
    <n v="592733"/>
    <n v="41238"/>
    <n v="597725"/>
    <n v="40453"/>
    <n v="601304"/>
    <n v="43661"/>
    <n v="605450"/>
    <n v="42548"/>
    <n v="608415"/>
    <n v="48415"/>
    <n v="609591"/>
  </r>
  <r>
    <x v="12"/>
    <x v="4"/>
    <n v="446933"/>
    <n v="7255010"/>
    <n v="27770"/>
    <n v="599759"/>
    <n v="28862"/>
    <n v="597184"/>
    <n v="32575"/>
    <n v="595586"/>
    <n v="33064"/>
    <n v="596169"/>
    <n v="33324"/>
    <n v="597540"/>
    <n v="35480"/>
    <n v="597901"/>
    <n v="37637"/>
    <n v="597218"/>
    <n v="40994"/>
    <n v="603803"/>
    <n v="40073"/>
    <n v="608670"/>
    <n v="44411"/>
    <n v="615981"/>
    <n v="43144"/>
    <n v="621002"/>
    <n v="49599"/>
    <n v="624197"/>
  </r>
  <r>
    <x v="13"/>
    <x v="5"/>
    <n v="443731"/>
    <n v="8544450"/>
    <n v="27193"/>
    <n v="715123"/>
    <n v="28415"/>
    <n v="710924"/>
    <n v="32732"/>
    <n v="708909"/>
    <n v="33816"/>
    <n v="708873"/>
    <n v="35261"/>
    <n v="710834"/>
    <n v="36222"/>
    <n v="709967"/>
    <n v="38588"/>
    <n v="706662"/>
    <n v="40241"/>
    <n v="711004"/>
    <n v="39261"/>
    <n v="713317"/>
    <n v="42699"/>
    <n v="716951"/>
    <n v="40860"/>
    <n v="716970"/>
    <n v="48443"/>
    <n v="714916"/>
  </r>
  <r>
    <x v="14"/>
    <x v="4"/>
    <n v="416245"/>
    <n v="7240512"/>
    <n v="24502"/>
    <n v="594223"/>
    <n v="26188"/>
    <n v="591998"/>
    <n v="30033"/>
    <n v="591962"/>
    <n v="30370"/>
    <n v="592895"/>
    <n v="31920"/>
    <n v="595707"/>
    <n v="32719"/>
    <n v="596408"/>
    <n v="36219"/>
    <n v="597022"/>
    <n v="38811"/>
    <n v="604527"/>
    <n v="37037"/>
    <n v="609587"/>
    <n v="41515"/>
    <n v="617304"/>
    <n v="39598"/>
    <n v="621995"/>
    <n v="47333"/>
    <n v="626884"/>
  </r>
  <r>
    <x v="15"/>
    <x v="5"/>
    <n v="362780"/>
    <n v="6836268"/>
    <n v="22358"/>
    <n v="574368"/>
    <n v="23234"/>
    <n v="570715"/>
    <n v="26554"/>
    <n v="568791"/>
    <n v="26933"/>
    <n v="567172"/>
    <n v="28469"/>
    <n v="568174"/>
    <n v="29131"/>
    <n v="566539"/>
    <n v="32180"/>
    <n v="564349"/>
    <n v="34164"/>
    <n v="568813"/>
    <n v="32192"/>
    <n v="569962"/>
    <n v="34966"/>
    <n v="572607"/>
    <n v="33267"/>
    <n v="572284"/>
    <n v="39332"/>
    <n v="572494"/>
  </r>
  <r>
    <x v="16"/>
    <x v="3"/>
    <n v="356633"/>
    <n v="7974792"/>
    <n v="20361"/>
    <n v="662411"/>
    <n v="22174"/>
    <n v="659993"/>
    <n v="25675"/>
    <n v="659243"/>
    <n v="29672"/>
    <n v="659026"/>
    <n v="27697"/>
    <n v="661426"/>
    <n v="28414"/>
    <n v="660483"/>
    <n v="31095"/>
    <n v="657380"/>
    <n v="33469"/>
    <n v="663885"/>
    <n v="31641"/>
    <n v="666769"/>
    <n v="34572"/>
    <n v="672142"/>
    <n v="33220"/>
    <n v="674808"/>
    <n v="38643"/>
    <n v="677226"/>
  </r>
  <r>
    <x v="17"/>
    <x v="1"/>
    <n v="354290"/>
    <n v="7013300"/>
    <n v="20740"/>
    <n v="576362"/>
    <n v="22610"/>
    <n v="574586"/>
    <n v="26212"/>
    <n v="574933"/>
    <n v="26150"/>
    <n v="575776"/>
    <n v="26794"/>
    <n v="577503"/>
    <n v="27967"/>
    <n v="579519"/>
    <n v="29841"/>
    <n v="579249"/>
    <n v="32674"/>
    <n v="584584"/>
    <n v="32344"/>
    <n v="589765"/>
    <n v="34654"/>
    <n v="596148"/>
    <n v="34143"/>
    <n v="600316"/>
    <n v="40161"/>
    <n v="604559"/>
  </r>
  <r>
    <x v="18"/>
    <x v="3"/>
    <n v="345490"/>
    <n v="6590966"/>
    <n v="20169"/>
    <n v="537927"/>
    <n v="21849"/>
    <n v="536782"/>
    <n v="25165"/>
    <n v="537361"/>
    <n v="25049"/>
    <n v="538630"/>
    <n v="26318"/>
    <n v="540909"/>
    <n v="27019"/>
    <n v="543024"/>
    <n v="30697"/>
    <n v="545374"/>
    <n v="32601"/>
    <n v="552660"/>
    <n v="30646"/>
    <n v="556531"/>
    <n v="33955"/>
    <n v="563007"/>
    <n v="33435"/>
    <n v="568450"/>
    <n v="38587"/>
    <n v="570311"/>
  </r>
  <r>
    <x v="19"/>
    <x v="5"/>
    <n v="342277"/>
    <n v="6066116"/>
    <n v="21444"/>
    <n v="510640"/>
    <n v="22496"/>
    <n v="506877"/>
    <n v="25890"/>
    <n v="505031"/>
    <n v="26335"/>
    <n v="504526"/>
    <n v="26803"/>
    <n v="505266"/>
    <n v="27650"/>
    <n v="502816"/>
    <n v="29728"/>
    <n v="500250"/>
    <n v="32169"/>
    <n v="504182"/>
    <n v="30578"/>
    <n v="505209"/>
    <n v="32651"/>
    <n v="507475"/>
    <n v="31298"/>
    <n v="507144"/>
    <n v="35235"/>
    <n v="506700"/>
  </r>
  <r>
    <x v="20"/>
    <x v="6"/>
    <n v="327387"/>
    <n v="6214732"/>
    <n v="19670"/>
    <n v="514535"/>
    <n v="20505"/>
    <n v="512217"/>
    <n v="23578"/>
    <n v="511607"/>
    <n v="23725"/>
    <n v="511513"/>
    <n v="24547"/>
    <n v="513132"/>
    <n v="25729"/>
    <n v="513563"/>
    <n v="28084"/>
    <n v="512576"/>
    <n v="29682"/>
    <n v="516699"/>
    <n v="29281"/>
    <n v="520028"/>
    <n v="31890"/>
    <n v="524962"/>
    <n v="32057"/>
    <n v="529520"/>
    <n v="38639"/>
    <n v="534380"/>
  </r>
  <r>
    <x v="21"/>
    <x v="0"/>
    <n v="300907"/>
    <n v="5273758"/>
    <n v="18334"/>
    <n v="435868"/>
    <n v="19495"/>
    <n v="434156"/>
    <n v="22411"/>
    <n v="433943"/>
    <n v="22134"/>
    <n v="434160"/>
    <n v="22773"/>
    <n v="435280"/>
    <n v="23821"/>
    <n v="435973"/>
    <n v="26003"/>
    <n v="435466"/>
    <n v="26770"/>
    <n v="439296"/>
    <n v="26440"/>
    <n v="442136"/>
    <n v="28954"/>
    <n v="445865"/>
    <n v="28881"/>
    <n v="448885"/>
    <n v="34891"/>
    <n v="452730"/>
  </r>
  <r>
    <x v="22"/>
    <x v="7"/>
    <n v="300331"/>
    <n v="6486716"/>
    <n v="18190"/>
    <n v="533615"/>
    <n v="20380"/>
    <n v="533603"/>
    <n v="23040"/>
    <n v="534945"/>
    <n v="22686"/>
    <n v="536032"/>
    <n v="23395"/>
    <n v="538591"/>
    <n v="24642"/>
    <n v="539623"/>
    <n v="26101"/>
    <n v="536354"/>
    <n v="26523"/>
    <n v="540290"/>
    <n v="26784"/>
    <n v="543910"/>
    <n v="28077"/>
    <n v="547970"/>
    <n v="28054"/>
    <n v="550836"/>
    <n v="32459"/>
    <n v="550947"/>
  </r>
  <r>
    <x v="23"/>
    <x v="2"/>
    <n v="287681"/>
    <n v="4842355"/>
    <n v="18222"/>
    <n v="402604"/>
    <n v="18785"/>
    <n v="400593"/>
    <n v="21741"/>
    <n v="400374"/>
    <n v="21812"/>
    <n v="400550"/>
    <n v="22462"/>
    <n v="402226"/>
    <n v="22495"/>
    <n v="401381"/>
    <n v="24725"/>
    <n v="399447"/>
    <n v="26091"/>
    <n v="403051"/>
    <n v="25196"/>
    <n v="404247"/>
    <n v="27763"/>
    <n v="407544"/>
    <n v="26967"/>
    <n v="409663"/>
    <n v="31422"/>
    <n v="410675"/>
  </r>
  <r>
    <x v="24"/>
    <x v="4"/>
    <n v="283621"/>
    <n v="4613230"/>
    <n v="17186"/>
    <n v="387147"/>
    <n v="18159"/>
    <n v="385045"/>
    <n v="20990"/>
    <n v="383981"/>
    <n v="20742"/>
    <n v="383184"/>
    <n v="23159"/>
    <n v="384296"/>
    <n v="23241"/>
    <n v="382774"/>
    <n v="24825"/>
    <n v="379950"/>
    <n v="25526"/>
    <n v="382711"/>
    <n v="25250"/>
    <n v="384038"/>
    <n v="26700"/>
    <n v="385781"/>
    <n v="26347"/>
    <n v="386633"/>
    <n v="31496"/>
    <n v="387690"/>
  </r>
  <r>
    <x v="25"/>
    <x v="4"/>
    <n v="276528"/>
    <n v="4962852"/>
    <n v="15939"/>
    <n v="410724"/>
    <n v="16889"/>
    <n v="408773"/>
    <n v="19538"/>
    <n v="407872"/>
    <n v="20492"/>
    <n v="408541"/>
    <n v="22920"/>
    <n v="410230"/>
    <n v="23061"/>
    <n v="409986"/>
    <n v="24671"/>
    <n v="408638"/>
    <n v="25447"/>
    <n v="413334"/>
    <n v="24437"/>
    <n v="416060"/>
    <n v="26591"/>
    <n v="420018"/>
    <n v="25570"/>
    <n v="422906"/>
    <n v="30973"/>
    <n v="425770"/>
  </r>
  <r>
    <x v="26"/>
    <x v="5"/>
    <n v="266068"/>
    <n v="4808783"/>
    <n v="16360"/>
    <n v="402227"/>
    <n v="17266"/>
    <n v="399942"/>
    <n v="19778"/>
    <n v="398838"/>
    <n v="19963"/>
    <n v="398440"/>
    <n v="20605"/>
    <n v="399457"/>
    <n v="21153"/>
    <n v="397674"/>
    <n v="23697"/>
    <n v="397111"/>
    <n v="24814"/>
    <n v="400724"/>
    <n v="23356"/>
    <n v="401674"/>
    <n v="25340"/>
    <n v="403720"/>
    <n v="24719"/>
    <n v="404325"/>
    <n v="29017"/>
    <n v="404651"/>
  </r>
  <r>
    <x v="27"/>
    <x v="5"/>
    <n v="263946"/>
    <n v="4534205"/>
    <n v="16562"/>
    <n v="378209"/>
    <n v="17581"/>
    <n v="376701"/>
    <n v="20284"/>
    <n v="376387"/>
    <n v="19767"/>
    <n v="376185"/>
    <n v="20362"/>
    <n v="377199"/>
    <n v="20760"/>
    <n v="375440"/>
    <n v="22541"/>
    <n v="373944"/>
    <n v="23681"/>
    <n v="376970"/>
    <n v="23105"/>
    <n v="378238"/>
    <n v="25249"/>
    <n v="380312"/>
    <n v="24775"/>
    <n v="381385"/>
    <n v="29279"/>
    <n v="383235"/>
  </r>
  <r>
    <x v="28"/>
    <x v="4"/>
    <n v="240929"/>
    <n v="4858404"/>
    <n v="13264"/>
    <n v="394257"/>
    <n v="14567"/>
    <n v="393365"/>
    <n v="17300"/>
    <n v="394213"/>
    <n v="17356"/>
    <n v="395794"/>
    <n v="17859"/>
    <n v="398010"/>
    <n v="18776"/>
    <n v="400280"/>
    <n v="20186"/>
    <n v="401006"/>
    <n v="22343"/>
    <n v="406343"/>
    <n v="21713"/>
    <n v="410368"/>
    <n v="24442"/>
    <n v="416437"/>
    <n v="23473"/>
    <n v="420849"/>
    <n v="29650"/>
    <n v="427482"/>
  </r>
  <r>
    <x v="29"/>
    <x v="7"/>
    <n v="214358"/>
    <n v="4309102"/>
    <n v="12714"/>
    <n v="354073"/>
    <n v="13925"/>
    <n v="353462"/>
    <n v="15889"/>
    <n v="353905"/>
    <n v="16747"/>
    <n v="355162"/>
    <n v="17164"/>
    <n v="357653"/>
    <n v="17648"/>
    <n v="358605"/>
    <n v="19451"/>
    <n v="356744"/>
    <n v="19928"/>
    <n v="360629"/>
    <n v="18804"/>
    <n v="362539"/>
    <n v="20350"/>
    <n v="365229"/>
    <n v="19390"/>
    <n v="366344"/>
    <n v="22348"/>
    <n v="364757"/>
  </r>
  <r>
    <x v="30"/>
    <x v="0"/>
    <n v="201958"/>
    <n v="3827932"/>
    <n v="12044"/>
    <n v="316359"/>
    <n v="13025"/>
    <n v="314923"/>
    <n v="15158"/>
    <n v="315045"/>
    <n v="15111"/>
    <n v="315320"/>
    <n v="15112"/>
    <n v="316342"/>
    <n v="15474"/>
    <n v="316188"/>
    <n v="17150"/>
    <n v="314982"/>
    <n v="18019"/>
    <n v="318035"/>
    <n v="17753"/>
    <n v="320008"/>
    <n v="20259"/>
    <n v="324076"/>
    <n v="19597"/>
    <n v="326942"/>
    <n v="23256"/>
    <n v="329712"/>
  </r>
  <r>
    <x v="31"/>
    <x v="0"/>
    <n v="194701"/>
    <n v="3355111"/>
    <n v="11366"/>
    <n v="277856"/>
    <n v="12225"/>
    <n v="276232"/>
    <n v="13481"/>
    <n v="275224"/>
    <n v="13989"/>
    <n v="274889"/>
    <n v="14785"/>
    <n v="275813"/>
    <n v="15320"/>
    <n v="276291"/>
    <n v="16988"/>
    <n v="276555"/>
    <n v="17692"/>
    <n v="279586"/>
    <n v="17171"/>
    <n v="281237"/>
    <n v="19380"/>
    <n v="284336"/>
    <n v="19434"/>
    <n v="287380"/>
    <n v="22870"/>
    <n v="289712"/>
  </r>
  <r>
    <x v="32"/>
    <x v="2"/>
    <n v="191608"/>
    <n v="2353464"/>
    <n v="13718"/>
    <n v="189305"/>
    <n v="14197"/>
    <n v="189611"/>
    <n v="15236"/>
    <n v="190233"/>
    <n v="14185"/>
    <n v="190458"/>
    <n v="13894"/>
    <n v="191663"/>
    <n v="13761"/>
    <n v="192595"/>
    <n v="15604"/>
    <n v="194148"/>
    <n v="15936"/>
    <n v="196537"/>
    <n v="16163"/>
    <n v="199090"/>
    <n v="18365"/>
    <n v="202830"/>
    <n v="17971"/>
    <n v="205793"/>
    <n v="22578"/>
    <n v="211201"/>
  </r>
  <r>
    <x v="33"/>
    <x v="1"/>
    <n v="186914"/>
    <n v="2874493"/>
    <n v="11273"/>
    <n v="234954"/>
    <n v="12105"/>
    <n v="234393"/>
    <n v="14490"/>
    <n v="235331"/>
    <n v="14210"/>
    <n v="235983"/>
    <n v="14682"/>
    <n v="237525"/>
    <n v="14729"/>
    <n v="237832"/>
    <n v="15694"/>
    <n v="237570"/>
    <n v="16678"/>
    <n v="239826"/>
    <n v="16808"/>
    <n v="242133"/>
    <n v="17876"/>
    <n v="244357"/>
    <n v="17898"/>
    <n v="246414"/>
    <n v="20471"/>
    <n v="248175"/>
  </r>
  <r>
    <x v="34"/>
    <x v="7"/>
    <n v="177903"/>
    <n v="4892858"/>
    <n v="9733"/>
    <n v="403742"/>
    <n v="10085"/>
    <n v="402408"/>
    <n v="12123"/>
    <n v="401854"/>
    <n v="12510"/>
    <n v="401976"/>
    <n v="13298"/>
    <n v="403212"/>
    <n v="14994"/>
    <n v="404136"/>
    <n v="18098"/>
    <n v="404319"/>
    <n v="19403"/>
    <n v="410708"/>
    <n v="15997"/>
    <n v="412750"/>
    <n v="16614"/>
    <n v="415383"/>
    <n v="14822"/>
    <n v="415454"/>
    <n v="20226"/>
    <n v="416916"/>
  </r>
  <r>
    <x v="35"/>
    <x v="4"/>
    <n v="173059"/>
    <n v="3031109"/>
    <n v="10178"/>
    <n v="249040"/>
    <n v="11129"/>
    <n v="248202"/>
    <n v="12569"/>
    <n v="247994"/>
    <n v="12629"/>
    <n v="248702"/>
    <n v="12840"/>
    <n v="249812"/>
    <n v="12892"/>
    <n v="249676"/>
    <n v="14004"/>
    <n v="249347"/>
    <n v="15543"/>
    <n v="252023"/>
    <n v="15185"/>
    <n v="254122"/>
    <n v="17125"/>
    <n v="257646"/>
    <n v="17433"/>
    <n v="260792"/>
    <n v="21532"/>
    <n v="263753"/>
  </r>
  <r>
    <x v="36"/>
    <x v="1"/>
    <n v="171042"/>
    <n v="3205211"/>
    <n v="9692"/>
    <n v="265055"/>
    <n v="10931"/>
    <n v="264316"/>
    <n v="12101"/>
    <n v="263726"/>
    <n v="13089"/>
    <n v="264521"/>
    <n v="13365"/>
    <n v="265775"/>
    <n v="14076"/>
    <n v="266166"/>
    <n v="15095"/>
    <n v="263999"/>
    <n v="15812"/>
    <n v="266739"/>
    <n v="15360"/>
    <n v="268581"/>
    <n v="16609"/>
    <n v="271052"/>
    <n v="15959"/>
    <n v="272402"/>
    <n v="18953"/>
    <n v="272879"/>
  </r>
  <r>
    <x v="37"/>
    <x v="0"/>
    <n v="165694"/>
    <n v="2740013"/>
    <n v="10059"/>
    <n v="227876"/>
    <n v="10981"/>
    <n v="226833"/>
    <n v="12451"/>
    <n v="226599"/>
    <n v="12082"/>
    <n v="226392"/>
    <n v="12634"/>
    <n v="226810"/>
    <n v="12960"/>
    <n v="226382"/>
    <n v="14655"/>
    <n v="225758"/>
    <n v="15430"/>
    <n v="227980"/>
    <n v="14921"/>
    <n v="229311"/>
    <n v="16246"/>
    <n v="231141"/>
    <n v="15497"/>
    <n v="232150"/>
    <n v="17778"/>
    <n v="232781"/>
  </r>
  <r>
    <x v="38"/>
    <x v="1"/>
    <n v="164201"/>
    <n v="3059784"/>
    <n v="9310"/>
    <n v="252804"/>
    <n v="10508"/>
    <n v="252136"/>
    <n v="11589"/>
    <n v="251583"/>
    <n v="12600"/>
    <n v="252444"/>
    <n v="12896"/>
    <n v="253756"/>
    <n v="13482"/>
    <n v="254163"/>
    <n v="14439"/>
    <n v="251988"/>
    <n v="15132"/>
    <n v="254637"/>
    <n v="14706"/>
    <n v="256415"/>
    <n v="15966"/>
    <n v="258856"/>
    <n v="15357"/>
    <n v="260236"/>
    <n v="18216"/>
    <n v="260766"/>
  </r>
  <r>
    <x v="39"/>
    <x v="0"/>
    <n v="164183"/>
    <n v="2674576"/>
    <n v="10113"/>
    <n v="220382"/>
    <n v="11090"/>
    <n v="219743"/>
    <n v="12539"/>
    <n v="219848"/>
    <n v="12454"/>
    <n v="221105"/>
    <n v="12709"/>
    <n v="221915"/>
    <n v="13150"/>
    <n v="221687"/>
    <n v="13856"/>
    <n v="221063"/>
    <n v="15150"/>
    <n v="223286"/>
    <n v="14560"/>
    <n v="224646"/>
    <n v="15493"/>
    <n v="226218"/>
    <n v="15239"/>
    <n v="227114"/>
    <n v="17830"/>
    <n v="227569"/>
  </r>
  <r>
    <x v="40"/>
    <x v="0"/>
    <n v="162179"/>
    <n v="2936335"/>
    <n v="9839"/>
    <n v="243556"/>
    <n v="10377"/>
    <n v="242477"/>
    <n v="12097"/>
    <n v="242413"/>
    <n v="12392"/>
    <n v="242528"/>
    <n v="12719"/>
    <n v="243622"/>
    <n v="13017"/>
    <n v="243539"/>
    <n v="14067"/>
    <n v="242195"/>
    <n v="15046"/>
    <n v="244456"/>
    <n v="14591"/>
    <n v="246039"/>
    <n v="15597"/>
    <n v="247924"/>
    <n v="15046"/>
    <n v="248768"/>
    <n v="17391"/>
    <n v="248818"/>
  </r>
  <r>
    <x v="41"/>
    <x v="4"/>
    <n v="158642"/>
    <n v="2753740"/>
    <n v="9245"/>
    <n v="227593"/>
    <n v="10277"/>
    <n v="226787"/>
    <n v="11560"/>
    <n v="226282"/>
    <n v="11773"/>
    <n v="226585"/>
    <n v="11972"/>
    <n v="227370"/>
    <n v="12470"/>
    <n v="227393"/>
    <n v="13642"/>
    <n v="227203"/>
    <n v="14585"/>
    <n v="229432"/>
    <n v="14088"/>
    <n v="230834"/>
    <n v="15463"/>
    <n v="232854"/>
    <n v="15311"/>
    <n v="234681"/>
    <n v="18256"/>
    <n v="236726"/>
  </r>
  <r>
    <x v="42"/>
    <x v="1"/>
    <n v="156456"/>
    <n v="2728585"/>
    <n v="9281"/>
    <n v="226436"/>
    <n v="10035"/>
    <n v="225172"/>
    <n v="11293"/>
    <n v="224608"/>
    <n v="11505"/>
    <n v="224825"/>
    <n v="12081"/>
    <n v="225743"/>
    <n v="12466"/>
    <n v="225815"/>
    <n v="13481"/>
    <n v="224545"/>
    <n v="14332"/>
    <n v="226774"/>
    <n v="14112"/>
    <n v="228250"/>
    <n v="15429"/>
    <n v="230581"/>
    <n v="15394"/>
    <n v="232452"/>
    <n v="17047"/>
    <n v="233384"/>
  </r>
  <r>
    <x v="43"/>
    <x v="5"/>
    <n v="154469"/>
    <n v="2692484"/>
    <n v="9345"/>
    <n v="223754"/>
    <n v="10058"/>
    <n v="222620"/>
    <n v="11518"/>
    <n v="222247"/>
    <n v="11424"/>
    <n v="222088"/>
    <n v="12142"/>
    <n v="222868"/>
    <n v="12448"/>
    <n v="222749"/>
    <n v="13731"/>
    <n v="222876"/>
    <n v="14198"/>
    <n v="225010"/>
    <n v="13749"/>
    <n v="225845"/>
    <n v="14736"/>
    <n v="227049"/>
    <n v="14119"/>
    <n v="227685"/>
    <n v="17001"/>
    <n v="227693"/>
  </r>
  <r>
    <x v="44"/>
    <x v="5"/>
    <n v="153373"/>
    <n v="2820029"/>
    <n v="8657"/>
    <n v="224707"/>
    <n v="9882"/>
    <n v="225373"/>
    <n v="11162"/>
    <n v="227022"/>
    <n v="11273"/>
    <n v="228484"/>
    <n v="11721"/>
    <n v="230886"/>
    <n v="12383"/>
    <n v="232671"/>
    <n v="13883"/>
    <n v="233928"/>
    <n v="14580"/>
    <n v="237928"/>
    <n v="13312"/>
    <n v="240300"/>
    <n v="14627"/>
    <n v="243690"/>
    <n v="13964"/>
    <n v="245859"/>
    <n v="17929"/>
    <n v="249181"/>
  </r>
  <r>
    <x v="45"/>
    <x v="0"/>
    <n v="151712"/>
    <n v="2871572"/>
    <n v="9166"/>
    <n v="238442"/>
    <n v="9966"/>
    <n v="237424"/>
    <n v="11446"/>
    <n v="237291"/>
    <n v="11604"/>
    <n v="237621"/>
    <n v="11740"/>
    <n v="238421"/>
    <n v="11893"/>
    <n v="238108"/>
    <n v="13323"/>
    <n v="236863"/>
    <n v="13911"/>
    <n v="238986"/>
    <n v="13566"/>
    <n v="240182"/>
    <n v="14803"/>
    <n v="242074"/>
    <n v="14206"/>
    <n v="243066"/>
    <n v="16088"/>
    <n v="243094"/>
  </r>
  <r>
    <x v="46"/>
    <x v="4"/>
    <n v="149802"/>
    <n v="2821705"/>
    <n v="8833"/>
    <n v="234964"/>
    <n v="9795"/>
    <n v="234063"/>
    <n v="11104"/>
    <n v="233881"/>
    <n v="11171"/>
    <n v="233965"/>
    <n v="11482"/>
    <n v="234565"/>
    <n v="12000"/>
    <n v="234071"/>
    <n v="12979"/>
    <n v="232958"/>
    <n v="13261"/>
    <n v="234590"/>
    <n v="13097"/>
    <n v="234835"/>
    <n v="14312"/>
    <n v="236551"/>
    <n v="14463"/>
    <n v="238113"/>
    <n v="17305"/>
    <n v="239149"/>
  </r>
  <r>
    <x v="47"/>
    <x v="4"/>
    <n v="146886"/>
    <n v="2620073"/>
    <n v="9144"/>
    <n v="218102"/>
    <n v="9349"/>
    <n v="216860"/>
    <n v="10825"/>
    <n v="216558"/>
    <n v="10681"/>
    <n v="216303"/>
    <n v="10947"/>
    <n v="216767"/>
    <n v="11423"/>
    <n v="216188"/>
    <n v="12966"/>
    <n v="215728"/>
    <n v="13444"/>
    <n v="217926"/>
    <n v="13035"/>
    <n v="219131"/>
    <n v="14467"/>
    <n v="221125"/>
    <n v="13868"/>
    <n v="222336"/>
    <n v="16737"/>
    <n v="223049"/>
  </r>
  <r>
    <x v="48"/>
    <x v="0"/>
    <n v="145976"/>
    <n v="2713376"/>
    <n v="8621"/>
    <n v="223920"/>
    <n v="9409"/>
    <n v="223088"/>
    <n v="10529"/>
    <n v="222876"/>
    <n v="10680"/>
    <n v="222966"/>
    <n v="11052"/>
    <n v="223747"/>
    <n v="11420"/>
    <n v="224027"/>
    <n v="12601"/>
    <n v="223511"/>
    <n v="13545"/>
    <n v="226132"/>
    <n v="12869"/>
    <n v="227595"/>
    <n v="14242"/>
    <n v="229866"/>
    <n v="14087"/>
    <n v="231926"/>
    <n v="16921"/>
    <n v="233722"/>
  </r>
  <r>
    <x v="49"/>
    <x v="5"/>
    <n v="141607"/>
    <n v="2847621"/>
    <n v="8291"/>
    <n v="233751"/>
    <n v="8843"/>
    <n v="233328"/>
    <n v="10094"/>
    <n v="233608"/>
    <n v="10635"/>
    <n v="234301"/>
    <n v="10800"/>
    <n v="235616"/>
    <n v="11296"/>
    <n v="235566"/>
    <n v="12698"/>
    <n v="234859"/>
    <n v="13616"/>
    <n v="238133"/>
    <n v="12326"/>
    <n v="239438"/>
    <n v="13936"/>
    <n v="242277"/>
    <n v="12851"/>
    <n v="242960"/>
    <n v="16221"/>
    <n v="243784"/>
  </r>
  <r>
    <x v="50"/>
    <x v="0"/>
    <n v="138884"/>
    <n v="2251686"/>
    <n v="8608"/>
    <n v="186562"/>
    <n v="9079"/>
    <n v="185922"/>
    <n v="10319"/>
    <n v="185783"/>
    <n v="10527"/>
    <n v="185939"/>
    <n v="10565"/>
    <n v="186560"/>
    <n v="10899"/>
    <n v="186408"/>
    <n v="11827"/>
    <n v="185484"/>
    <n v="12663"/>
    <n v="187059"/>
    <n v="12487"/>
    <n v="188398"/>
    <n v="13852"/>
    <n v="190511"/>
    <n v="12993"/>
    <n v="191499"/>
    <n v="15065"/>
    <n v="191561"/>
  </r>
  <r>
    <x v="51"/>
    <x v="1"/>
    <n v="132800"/>
    <n v="2250925"/>
    <n v="7896"/>
    <n v="189766"/>
    <n v="8242"/>
    <n v="187952"/>
    <n v="9600"/>
    <n v="187041"/>
    <n v="9904"/>
    <n v="186573"/>
    <n v="10467"/>
    <n v="186707"/>
    <n v="10740"/>
    <n v="185990"/>
    <n v="12179"/>
    <n v="185265"/>
    <n v="12906"/>
    <n v="187449"/>
    <n v="12063"/>
    <n v="188115"/>
    <n v="12755"/>
    <n v="189078"/>
    <n v="12105"/>
    <n v="189085"/>
    <n v="13943"/>
    <n v="187904"/>
  </r>
  <r>
    <x v="52"/>
    <x v="3"/>
    <n v="132358"/>
    <n v="3021897"/>
    <n v="7783"/>
    <n v="254028"/>
    <n v="8318"/>
    <n v="252531"/>
    <n v="9103"/>
    <n v="250771"/>
    <n v="9425"/>
    <n v="250133"/>
    <n v="10001"/>
    <n v="250041"/>
    <n v="11065"/>
    <n v="249662"/>
    <n v="12380"/>
    <n v="249013"/>
    <n v="13241"/>
    <n v="251531"/>
    <n v="11750"/>
    <n v="252502"/>
    <n v="12998"/>
    <n v="254154"/>
    <n v="11999"/>
    <n v="254795"/>
    <n v="14295"/>
    <n v="252736"/>
  </r>
  <r>
    <x v="53"/>
    <x v="0"/>
    <n v="131571"/>
    <n v="2204219"/>
    <n v="7899"/>
    <n v="182755"/>
    <n v="8493"/>
    <n v="181927"/>
    <n v="9480"/>
    <n v="181531"/>
    <n v="9593"/>
    <n v="181528"/>
    <n v="10050"/>
    <n v="182113"/>
    <n v="10382"/>
    <n v="182397"/>
    <n v="11331"/>
    <n v="182094"/>
    <n v="12103"/>
    <n v="183884"/>
    <n v="11584"/>
    <n v="184895"/>
    <n v="12948"/>
    <n v="186083"/>
    <n v="12775"/>
    <n v="187546"/>
    <n v="14933"/>
    <n v="187466"/>
  </r>
  <r>
    <x v="54"/>
    <x v="0"/>
    <n v="131355"/>
    <n v="2277412"/>
    <n v="7508"/>
    <n v="188478"/>
    <n v="7986"/>
    <n v="187473"/>
    <n v="9153"/>
    <n v="186752"/>
    <n v="9319"/>
    <n v="186569"/>
    <n v="10049"/>
    <n v="187346"/>
    <n v="10361"/>
    <n v="187609"/>
    <n v="11379"/>
    <n v="187649"/>
    <n v="12111"/>
    <n v="189849"/>
    <n v="12024"/>
    <n v="191406"/>
    <n v="13449"/>
    <n v="193484"/>
    <n v="13127"/>
    <n v="195483"/>
    <n v="14889"/>
    <n v="195314"/>
  </r>
  <r>
    <x v="55"/>
    <x v="2"/>
    <n v="127386"/>
    <n v="2533890"/>
    <n v="7564"/>
    <n v="206804"/>
    <n v="7860"/>
    <n v="206323"/>
    <n v="9223"/>
    <n v="206640"/>
    <n v="9022"/>
    <n v="207050"/>
    <n v="10147"/>
    <n v="208785"/>
    <n v="10029"/>
    <n v="209341"/>
    <n v="11077"/>
    <n v="209017"/>
    <n v="11861"/>
    <n v="211677"/>
    <n v="11166"/>
    <n v="213334"/>
    <n v="12633"/>
    <n v="216198"/>
    <n v="11980"/>
    <n v="218096"/>
    <n v="14824"/>
    <n v="220625"/>
  </r>
  <r>
    <x v="56"/>
    <x v="6"/>
    <n v="120680"/>
    <n v="2372236"/>
    <n v="8723"/>
    <n v="198842"/>
    <n v="8745"/>
    <n v="198390"/>
    <n v="9507"/>
    <n v="198085"/>
    <n v="9120"/>
    <n v="197542"/>
    <n v="9546"/>
    <n v="197864"/>
    <n v="9530"/>
    <n v="197559"/>
    <n v="10029"/>
    <n v="196235"/>
    <n v="10629"/>
    <n v="196974"/>
    <n v="10135"/>
    <n v="197250"/>
    <n v="11254"/>
    <n v="197840"/>
    <n v="10634"/>
    <n v="198089"/>
    <n v="12828"/>
    <n v="197566"/>
  </r>
  <r>
    <x v="57"/>
    <x v="1"/>
    <n v="117631"/>
    <n v="2159989"/>
    <n v="6943"/>
    <n v="182113"/>
    <n v="7360"/>
    <n v="180653"/>
    <n v="8659"/>
    <n v="179795"/>
    <n v="8703"/>
    <n v="179371"/>
    <n v="9061"/>
    <n v="179306"/>
    <n v="9463"/>
    <n v="178673"/>
    <n v="10649"/>
    <n v="177993"/>
    <n v="11407"/>
    <n v="179458"/>
    <n v="10514"/>
    <n v="179926"/>
    <n v="11203"/>
    <n v="180765"/>
    <n v="10882"/>
    <n v="181064"/>
    <n v="12787"/>
    <n v="180872"/>
  </r>
  <r>
    <x v="58"/>
    <x v="7"/>
    <n v="117080"/>
    <n v="2572197"/>
    <n v="6783"/>
    <n v="212392"/>
    <n v="7422"/>
    <n v="212195"/>
    <n v="8301"/>
    <n v="212357"/>
    <n v="8766"/>
    <n v="212981"/>
    <n v="9227"/>
    <n v="214233"/>
    <n v="9687"/>
    <n v="214942"/>
    <n v="10731"/>
    <n v="211493"/>
    <n v="11004"/>
    <n v="213939"/>
    <n v="10468"/>
    <n v="215380"/>
    <n v="11355"/>
    <n v="217387"/>
    <n v="10507"/>
    <n v="217980"/>
    <n v="12829"/>
    <n v="216918"/>
  </r>
  <r>
    <x v="59"/>
    <x v="0"/>
    <n v="113071"/>
    <n v="1842282"/>
    <n v="7076"/>
    <n v="153553"/>
    <n v="7690"/>
    <n v="153062"/>
    <n v="8538"/>
    <n v="152983"/>
    <n v="8131"/>
    <n v="152371"/>
    <n v="8893"/>
    <n v="152896"/>
    <n v="8912"/>
    <n v="152594"/>
    <n v="9711"/>
    <n v="151589"/>
    <n v="10472"/>
    <n v="153191"/>
    <n v="9904"/>
    <n v="153708"/>
    <n v="10931"/>
    <n v="155125"/>
    <n v="10577"/>
    <n v="155566"/>
    <n v="12236"/>
    <n v="155644"/>
  </r>
  <r>
    <x v="60"/>
    <x v="0"/>
    <n v="108135"/>
    <n v="1684131"/>
    <n v="6554"/>
    <n v="139977"/>
    <n v="7199"/>
    <n v="139312"/>
    <n v="8368"/>
    <n v="139366"/>
    <n v="8049"/>
    <n v="139284"/>
    <n v="8364"/>
    <n v="139455"/>
    <n v="8867"/>
    <n v="139633"/>
    <n v="9296"/>
    <n v="138930"/>
    <n v="9841"/>
    <n v="140253"/>
    <n v="9792"/>
    <n v="140780"/>
    <n v="10357"/>
    <n v="141838"/>
    <n v="10017"/>
    <n v="142575"/>
    <n v="11431"/>
    <n v="142728"/>
  </r>
  <r>
    <x v="61"/>
    <x v="0"/>
    <n v="102235"/>
    <n v="1766591"/>
    <n v="6161"/>
    <n v="147262"/>
    <n v="6513"/>
    <n v="146364"/>
    <n v="7695"/>
    <n v="146207"/>
    <n v="7466"/>
    <n v="146016"/>
    <n v="7764"/>
    <n v="146488"/>
    <n v="8038"/>
    <n v="146334"/>
    <n v="9016"/>
    <n v="145350"/>
    <n v="9533"/>
    <n v="147020"/>
    <n v="9084"/>
    <n v="147777"/>
    <n v="9669"/>
    <n v="148723"/>
    <n v="9621"/>
    <n v="149286"/>
    <n v="11675"/>
    <n v="149764"/>
  </r>
  <r>
    <x v="62"/>
    <x v="3"/>
    <n v="100688"/>
    <n v="1861155"/>
    <n v="5836"/>
    <n v="153498"/>
    <n v="6431"/>
    <n v="152959"/>
    <n v="7338"/>
    <n v="152778"/>
    <n v="7467"/>
    <n v="153010"/>
    <n v="7511"/>
    <n v="153642"/>
    <n v="7909"/>
    <n v="153612"/>
    <n v="8832"/>
    <n v="153163"/>
    <n v="9498"/>
    <n v="155031"/>
    <n v="9053"/>
    <n v="156395"/>
    <n v="9872"/>
    <n v="157958"/>
    <n v="9666"/>
    <n v="159089"/>
    <n v="11275"/>
    <n v="160020"/>
  </r>
  <r>
    <x v="63"/>
    <x v="7"/>
    <n v="95262"/>
    <n v="2027095"/>
    <n v="5187"/>
    <n v="166708"/>
    <n v="5717"/>
    <n v="165983"/>
    <n v="6830"/>
    <n v="166127"/>
    <n v="7296"/>
    <n v="166671"/>
    <n v="7857"/>
    <n v="167923"/>
    <n v="8120"/>
    <n v="168527"/>
    <n v="8730"/>
    <n v="167926"/>
    <n v="9232"/>
    <n v="169733"/>
    <n v="8624"/>
    <n v="170726"/>
    <n v="9146"/>
    <n v="172299"/>
    <n v="8358"/>
    <n v="172542"/>
    <n v="10165"/>
    <n v="171930"/>
  </r>
  <r>
    <x v="64"/>
    <x v="0"/>
    <n v="87423"/>
    <n v="1529536"/>
    <n v="5389"/>
    <n v="127495"/>
    <n v="5763"/>
    <n v="126880"/>
    <n v="6783"/>
    <n v="126862"/>
    <n v="6681"/>
    <n v="126864"/>
    <n v="6774"/>
    <n v="127253"/>
    <n v="6903"/>
    <n v="126992"/>
    <n v="7577"/>
    <n v="126283"/>
    <n v="7561"/>
    <n v="127079"/>
    <n v="7729"/>
    <n v="127702"/>
    <n v="8228"/>
    <n v="128265"/>
    <n v="8265"/>
    <n v="128923"/>
    <n v="9770"/>
    <n v="128938"/>
  </r>
  <r>
    <x v="65"/>
    <x v="1"/>
    <n v="87004"/>
    <n v="1544124"/>
    <n v="5216"/>
    <n v="129984"/>
    <n v="5546"/>
    <n v="129094"/>
    <n v="6384"/>
    <n v="128730"/>
    <n v="6442"/>
    <n v="128538"/>
    <n v="6780"/>
    <n v="128720"/>
    <n v="6846"/>
    <n v="127844"/>
    <n v="7570"/>
    <n v="127147"/>
    <n v="7980"/>
    <n v="127842"/>
    <n v="7961"/>
    <n v="128277"/>
    <n v="8504"/>
    <n v="129134"/>
    <n v="8217"/>
    <n v="129425"/>
    <n v="9558"/>
    <n v="129389"/>
  </r>
  <r>
    <x v="66"/>
    <x v="4"/>
    <n v="86411"/>
    <n v="1479310"/>
    <n v="5064"/>
    <n v="121710"/>
    <n v="5628"/>
    <n v="121304"/>
    <n v="6531"/>
    <n v="121303"/>
    <n v="5984"/>
    <n v="121256"/>
    <n v="6397"/>
    <n v="121822"/>
    <n v="6699"/>
    <n v="122097"/>
    <n v="7368"/>
    <n v="121747"/>
    <n v="7879"/>
    <n v="123405"/>
    <n v="7551"/>
    <n v="124198"/>
    <n v="8711"/>
    <n v="125783"/>
    <n v="8475"/>
    <n v="126962"/>
    <n v="10124"/>
    <n v="127723"/>
  </r>
  <r>
    <x v="67"/>
    <x v="4"/>
    <n v="83482"/>
    <n v="1360690"/>
    <n v="4823"/>
    <n v="111294"/>
    <n v="5204"/>
    <n v="110848"/>
    <n v="6105"/>
    <n v="110951"/>
    <n v="6234"/>
    <n v="111468"/>
    <n v="6370"/>
    <n v="112148"/>
    <n v="6449"/>
    <n v="112249"/>
    <n v="7031"/>
    <n v="111991"/>
    <n v="7229"/>
    <n v="113283"/>
    <n v="7301"/>
    <n v="114301"/>
    <n v="8322"/>
    <n v="115934"/>
    <n v="8238"/>
    <n v="117440"/>
    <n v="10176"/>
    <n v="118783"/>
  </r>
  <r>
    <x v="68"/>
    <x v="0"/>
    <n v="76421"/>
    <n v="1266397"/>
    <n v="4416"/>
    <n v="103861"/>
    <n v="4648"/>
    <n v="103326"/>
    <n v="5721"/>
    <n v="103712"/>
    <n v="5330"/>
    <n v="103834"/>
    <n v="5388"/>
    <n v="104289"/>
    <n v="8448"/>
    <n v="106701"/>
    <n v="6117"/>
    <n v="105337"/>
    <n v="6594"/>
    <n v="106274"/>
    <n v="7570"/>
    <n v="106712"/>
    <n v="6837"/>
    <n v="107206"/>
    <n v="6694"/>
    <n v="107333"/>
    <n v="8658"/>
    <n v="107812"/>
  </r>
  <r>
    <x v="69"/>
    <x v="5"/>
    <n v="74724"/>
    <n v="1415635"/>
    <n v="4471"/>
    <n v="117972"/>
    <n v="4864"/>
    <n v="117443"/>
    <n v="5423"/>
    <n v="117228"/>
    <n v="5562"/>
    <n v="117177"/>
    <n v="5690"/>
    <n v="117427"/>
    <n v="6157"/>
    <n v="117483"/>
    <n v="6472"/>
    <n v="116935"/>
    <n v="6946"/>
    <n v="117878"/>
    <n v="6504"/>
    <n v="118331"/>
    <n v="7016"/>
    <n v="118852"/>
    <n v="6912"/>
    <n v="119150"/>
    <n v="8707"/>
    <n v="119759"/>
  </r>
  <r>
    <x v="70"/>
    <x v="1"/>
    <n v="73055"/>
    <n v="1192038"/>
    <n v="4528"/>
    <n v="99582"/>
    <n v="4811"/>
    <n v="99170"/>
    <n v="5463"/>
    <n v="98971"/>
    <n v="5403"/>
    <n v="98838"/>
    <n v="5665"/>
    <n v="98986"/>
    <n v="5647"/>
    <n v="98499"/>
    <n v="6274"/>
    <n v="98087"/>
    <n v="6655"/>
    <n v="98947"/>
    <n v="6466"/>
    <n v="99293"/>
    <n v="7081"/>
    <n v="100179"/>
    <n v="6859"/>
    <n v="100565"/>
    <n v="8203"/>
    <n v="100921"/>
  </r>
  <r>
    <x v="71"/>
    <x v="1"/>
    <n v="72624"/>
    <n v="1220228"/>
    <n v="4285"/>
    <n v="101752"/>
    <n v="4731"/>
    <n v="101158"/>
    <n v="5424"/>
    <n v="101039"/>
    <n v="5343"/>
    <n v="100898"/>
    <n v="5455"/>
    <n v="100991"/>
    <n v="5691"/>
    <n v="100658"/>
    <n v="6241"/>
    <n v="100215"/>
    <n v="6829"/>
    <n v="101250"/>
    <n v="6673"/>
    <n v="102003"/>
    <n v="7014"/>
    <n v="102820"/>
    <n v="7115"/>
    <n v="103536"/>
    <n v="7823"/>
    <n v="103908"/>
  </r>
  <r>
    <x v="72"/>
    <x v="6"/>
    <n v="68936"/>
    <n v="1356859"/>
    <n v="4564"/>
    <n v="113332"/>
    <n v="4737"/>
    <n v="113060"/>
    <n v="5387"/>
    <n v="112945"/>
    <n v="5115"/>
    <n v="112749"/>
    <n v="5387"/>
    <n v="113149"/>
    <n v="5397"/>
    <n v="112839"/>
    <n v="5725"/>
    <n v="112103"/>
    <n v="6212"/>
    <n v="112820"/>
    <n v="6030"/>
    <n v="112986"/>
    <n v="6235"/>
    <n v="113286"/>
    <n v="6244"/>
    <n v="113683"/>
    <n v="7903"/>
    <n v="113907"/>
  </r>
  <r>
    <x v="73"/>
    <x v="2"/>
    <n v="62186"/>
    <n v="1232978"/>
    <n v="3650"/>
    <n v="100424"/>
    <n v="3843"/>
    <n v="100199"/>
    <n v="4600"/>
    <n v="100394"/>
    <n v="4447"/>
    <n v="100515"/>
    <n v="4589"/>
    <n v="100843"/>
    <n v="5019"/>
    <n v="101451"/>
    <n v="5646"/>
    <n v="102346"/>
    <n v="5569"/>
    <n v="103333"/>
    <n v="5517"/>
    <n v="104286"/>
    <n v="5840"/>
    <n v="105249"/>
    <n v="5694"/>
    <n v="105970"/>
    <n v="7772"/>
    <n v="107968"/>
  </r>
  <r>
    <x v="74"/>
    <x v="7"/>
    <n v="60737"/>
    <n v="1145397"/>
    <n v="3711"/>
    <n v="96159"/>
    <n v="3987"/>
    <n v="95778"/>
    <n v="4471"/>
    <n v="95579"/>
    <n v="4509"/>
    <n v="95234"/>
    <n v="4827"/>
    <n v="95432"/>
    <n v="4756"/>
    <n v="95113"/>
    <n v="5427"/>
    <n v="94591"/>
    <n v="5642"/>
    <n v="95148"/>
    <n v="5616"/>
    <n v="95268"/>
    <n v="6026"/>
    <n v="95803"/>
    <n v="5594"/>
    <n v="95889"/>
    <n v="6171"/>
    <n v="95403"/>
  </r>
  <r>
    <x v="75"/>
    <x v="6"/>
    <n v="59834"/>
    <n v="1146512"/>
    <n v="3839"/>
    <n v="95449"/>
    <n v="3785"/>
    <n v="94908"/>
    <n v="4588"/>
    <n v="94878"/>
    <n v="4552"/>
    <n v="94902"/>
    <n v="4671"/>
    <n v="95188"/>
    <n v="4633"/>
    <n v="95091"/>
    <n v="5157"/>
    <n v="94665"/>
    <n v="5709"/>
    <n v="95614"/>
    <n v="5059"/>
    <n v="95841"/>
    <n v="5464"/>
    <n v="96215"/>
    <n v="5818"/>
    <n v="96925"/>
    <n v="6559"/>
    <n v="96836"/>
  </r>
  <r>
    <x v="76"/>
    <x v="2"/>
    <n v="59445"/>
    <n v="768425"/>
    <n v="4173"/>
    <n v="61951"/>
    <n v="4459"/>
    <n v="62201"/>
    <n v="4692"/>
    <n v="62231"/>
    <n v="4467"/>
    <n v="62242"/>
    <n v="4369"/>
    <n v="62603"/>
    <n v="4304"/>
    <n v="63011"/>
    <n v="4777"/>
    <n v="63552"/>
    <n v="4901"/>
    <n v="64170"/>
    <n v="4982"/>
    <n v="64892"/>
    <n v="5631"/>
    <n v="65880"/>
    <n v="5712"/>
    <n v="67238"/>
    <n v="6978"/>
    <n v="68454"/>
  </r>
  <r>
    <x v="77"/>
    <x v="2"/>
    <n v="52429"/>
    <n v="1048444"/>
    <n v="2928"/>
    <n v="83759"/>
    <n v="2944"/>
    <n v="83600"/>
    <n v="3771"/>
    <n v="84360"/>
    <n v="3591"/>
    <n v="84595"/>
    <n v="3770"/>
    <n v="85276"/>
    <n v="3935"/>
    <n v="85877"/>
    <n v="4480"/>
    <n v="87032"/>
    <n v="4891"/>
    <n v="88320"/>
    <n v="4715"/>
    <n v="89343"/>
    <n v="5242"/>
    <n v="90630"/>
    <n v="5235"/>
    <n v="91857"/>
    <n v="6927"/>
    <n v="93795"/>
  </r>
  <r>
    <x v="78"/>
    <x v="6"/>
    <n v="49180"/>
    <n v="1016260"/>
    <n v="3493"/>
    <n v="86597"/>
    <n v="3555"/>
    <n v="85812"/>
    <n v="3961"/>
    <n v="85204"/>
    <n v="3770"/>
    <n v="89197"/>
    <n v="4045"/>
    <n v="88998"/>
    <n v="3977"/>
    <n v="84202"/>
    <n v="4360"/>
    <n v="84008"/>
    <n v="4260"/>
    <n v="83598"/>
    <n v="4304"/>
    <n v="83122"/>
    <n v="4342"/>
    <n v="82584"/>
    <n v="4298"/>
    <n v="82105"/>
    <n v="4815"/>
    <n v="80833"/>
  </r>
  <r>
    <x v="79"/>
    <x v="5"/>
    <n v="47947"/>
    <n v="1643189"/>
    <n v="2844"/>
    <n v="133359"/>
    <n v="2845"/>
    <n v="133217"/>
    <n v="3442"/>
    <n v="133583"/>
    <n v="4584"/>
    <n v="134996"/>
    <n v="3868"/>
    <n v="135830"/>
    <n v="4058"/>
    <n v="136552"/>
    <n v="4595"/>
    <n v="137041"/>
    <n v="4964"/>
    <n v="138834"/>
    <n v="3906"/>
    <n v="139421"/>
    <n v="4203"/>
    <n v="140120"/>
    <n v="3797"/>
    <n v="140215"/>
    <n v="4841"/>
    <n v="140021"/>
  </r>
  <r>
    <x v="80"/>
    <x v="6"/>
    <n v="38345"/>
    <n v="863918"/>
    <n v="2431"/>
    <n v="72238"/>
    <n v="2411"/>
    <n v="71866"/>
    <n v="2871"/>
    <n v="71635"/>
    <n v="2870"/>
    <n v="71529"/>
    <n v="2979"/>
    <n v="71599"/>
    <n v="3039"/>
    <n v="71580"/>
    <n v="3330"/>
    <n v="71399"/>
    <n v="3726"/>
    <n v="72054"/>
    <n v="3406"/>
    <n v="72280"/>
    <n v="3647"/>
    <n v="72518"/>
    <n v="3434"/>
    <n v="72598"/>
    <n v="4201"/>
    <n v="72622"/>
  </r>
  <r>
    <x v="81"/>
    <x v="7"/>
    <n v="30862"/>
    <n v="590549"/>
    <n v="1852"/>
    <n v="49941"/>
    <n v="1886"/>
    <n v="49647"/>
    <n v="2127"/>
    <n v="49409"/>
    <n v="2301"/>
    <n v="49321"/>
    <n v="2422"/>
    <n v="49441"/>
    <n v="2560"/>
    <n v="49208"/>
    <n v="2774"/>
    <n v="48558"/>
    <n v="2945"/>
    <n v="48822"/>
    <n v="2818"/>
    <n v="48969"/>
    <n v="3024"/>
    <n v="49203"/>
    <n v="2915"/>
    <n v="49241"/>
    <n v="3238"/>
    <n v="48789"/>
  </r>
  <r>
    <x v="82"/>
    <x v="5"/>
    <n v="29337"/>
    <n v="508083"/>
    <n v="1742"/>
    <n v="41930"/>
    <n v="1842"/>
    <n v="41777"/>
    <n v="2081"/>
    <n v="41798"/>
    <n v="2167"/>
    <n v="41829"/>
    <n v="2228"/>
    <n v="41983"/>
    <n v="3084"/>
    <n v="42723"/>
    <n v="2565"/>
    <n v="42258"/>
    <n v="2711"/>
    <n v="42408"/>
    <n v="2492"/>
    <n v="42562"/>
    <n v="2699"/>
    <n v="42792"/>
    <n v="2717"/>
    <n v="43001"/>
    <n v="3009"/>
    <n v="43022"/>
  </r>
  <r>
    <x v="83"/>
    <x v="7"/>
    <n v="17997"/>
    <n v="340084"/>
    <n v="1059"/>
    <n v="28520"/>
    <n v="1212"/>
    <n v="28462"/>
    <n v="1362"/>
    <n v="28438"/>
    <n v="1365"/>
    <n v="28373"/>
    <n v="1392"/>
    <n v="28364"/>
    <n v="1403"/>
    <n v="28197"/>
    <n v="1636"/>
    <n v="28011"/>
    <n v="1686"/>
    <n v="28260"/>
    <n v="1577"/>
    <n v="28334"/>
    <n v="1710"/>
    <n v="28389"/>
    <n v="1615"/>
    <n v="28415"/>
    <n v="1980"/>
    <n v="28321"/>
  </r>
  <r>
    <x v="84"/>
    <x v="7"/>
    <n v="10941"/>
    <n v="240590"/>
    <n v="609"/>
    <n v="20323"/>
    <n v="612"/>
    <n v="20144"/>
    <n v="670"/>
    <n v="19961"/>
    <n v="778"/>
    <n v="19835"/>
    <n v="876"/>
    <n v="19891"/>
    <n v="988"/>
    <n v="19954"/>
    <n v="1141"/>
    <n v="19875"/>
    <n v="1224"/>
    <n v="20106"/>
    <n v="967"/>
    <n v="20144"/>
    <n v="1021"/>
    <n v="20205"/>
    <n v="997"/>
    <n v="20248"/>
    <n v="1058"/>
    <n v="19904"/>
  </r>
  <r>
    <x v="85"/>
    <x v="6"/>
    <n v="10785"/>
    <n v="193280"/>
    <n v="772"/>
    <n v="17056"/>
    <n v="780"/>
    <n v="16888"/>
    <n v="919"/>
    <n v="16770"/>
    <n v="809"/>
    <n v="16519"/>
    <n v="839"/>
    <n v="16432"/>
    <n v="828"/>
    <n v="16190"/>
    <n v="930"/>
    <n v="16074"/>
    <n v="912"/>
    <n v="15843"/>
    <n v="979"/>
    <n v="15735"/>
    <n v="968"/>
    <n v="15441"/>
    <n v="953"/>
    <n v="15278"/>
    <n v="1096"/>
    <n v="15054"/>
  </r>
  <r>
    <x v="86"/>
    <x v="1"/>
    <n v="6841"/>
    <n v="145427"/>
    <n v="382"/>
    <n v="12252"/>
    <n v="423"/>
    <n v="12180"/>
    <n v="512"/>
    <n v="12143"/>
    <n v="489"/>
    <n v="12077"/>
    <n v="469"/>
    <n v="12019"/>
    <n v="594"/>
    <n v="12003"/>
    <n v="656"/>
    <n v="12011"/>
    <n v="680"/>
    <n v="12102"/>
    <n v="654"/>
    <n v="12165"/>
    <n v="643"/>
    <n v="12197"/>
    <n v="602"/>
    <n v="12165"/>
    <n v="737"/>
    <n v="121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Объем кредитов по регионам" cacheId="5" applyNumberFormats="0" applyBorderFormats="0" applyFontFormats="0" applyPatternFormats="0" applyAlignmentFormats="0" applyWidthHeightFormats="0" dataCaption="" updatedVersion="8" compact="0" compactData="0">
  <location ref="A1:M90" firstHeaderRow="1" firstDataRow="2" firstDataCol="1"/>
  <pivotFields count="28">
    <pivotField name="Регионы" axis="axisRow" compact="0" numFmtId="49" outline="0" multipleItemSelectionAllowed="1" showAll="0" sortType="ascending">
      <items count="88">
        <item x="26"/>
        <item x="58"/>
        <item x="36"/>
        <item x="38"/>
        <item x="55"/>
        <item x="31"/>
        <item x="53"/>
        <item x="86"/>
        <item x="16"/>
        <item x="52"/>
        <item x="37"/>
        <item x="23"/>
        <item x="42"/>
        <item x="21"/>
        <item x="0"/>
        <item x="2"/>
        <item x="76"/>
        <item x="83"/>
        <item x="49"/>
        <item x="60"/>
        <item x="15"/>
        <item x="75"/>
        <item x="33"/>
        <item x="45"/>
        <item x="74"/>
        <item x="80"/>
        <item x="19"/>
        <item x="41"/>
        <item x="68"/>
        <item x="3"/>
        <item x="13"/>
        <item x="62"/>
        <item x="54"/>
        <item x="17"/>
        <item x="50"/>
        <item x="81"/>
        <item x="1"/>
        <item x="51"/>
        <item x="12"/>
        <item x="71"/>
        <item x="10"/>
        <item x="27"/>
        <item x="25"/>
        <item x="64"/>
        <item x="46"/>
        <item x="14"/>
        <item x="22"/>
        <item x="70"/>
        <item x="73"/>
        <item x="82"/>
        <item x="7"/>
        <item x="44"/>
        <item x="56"/>
        <item x="85"/>
        <item x="77"/>
        <item x="65"/>
        <item x="57"/>
        <item x="32"/>
        <item x="67"/>
        <item x="66"/>
        <item x="34"/>
        <item x="72"/>
        <item x="6"/>
        <item x="79"/>
        <item x="69"/>
        <item x="8"/>
        <item x="48"/>
        <item x="11"/>
        <item x="24"/>
        <item x="63"/>
        <item x="5"/>
        <item x="59"/>
        <item x="20"/>
        <item x="61"/>
        <item x="40"/>
        <item x="43"/>
        <item x="30"/>
        <item x="4"/>
        <item x="18"/>
        <item x="28"/>
        <item x="47"/>
        <item x="29"/>
        <item x="9"/>
        <item x="78"/>
        <item x="35"/>
        <item x="84"/>
        <item x="39"/>
        <item t="default"/>
      </items>
    </pivotField>
    <pivotField name="Федеральные округа" compact="0" numFmtId="49" outline="0" multipleItemSelectionAllowed="1" showAll="0"/>
    <pivotField name="Объем общее (млн руб)" dataField="1" compact="0" numFmtId="3" outline="0" multipleItemSelectionAllowed="1" showAll="0"/>
    <pivotField name="Задолженность общее  (млн руб)" compact="0" numFmtId="3" outline="0" multipleItemSelectionAllowed="1" showAll="0"/>
    <pivotField name="Январь объем  (млн руб)" compact="0" numFmtId="3" outline="0" multipleItemSelectionAllowed="1" showAll="0"/>
    <pivotField name="Январь задолженность  (млн руб)" compact="0" numFmtId="3" outline="0" multipleItemSelectionAllowed="1" showAll="0"/>
    <pivotField name="Февраль объем  (млн руб)" dataField="1" compact="0" numFmtId="3" outline="0" multipleItemSelectionAllowed="1" showAll="0"/>
    <pivotField name="Февраль задолженность  (млн руб)" compact="0" numFmtId="3" outline="0" multipleItemSelectionAllowed="1" showAll="0"/>
    <pivotField name="Март объем  (млн руб)" dataField="1" compact="0" numFmtId="3" outline="0" multipleItemSelectionAllowed="1" showAll="0"/>
    <pivotField name="Март задолженность  (млн руб)" compact="0" numFmtId="3" outline="0" multipleItemSelectionAllowed="1" showAll="0"/>
    <pivotField name="Апрель объем  (млн руб)" dataField="1" compact="0" numFmtId="3" outline="0" multipleItemSelectionAllowed="1" showAll="0"/>
    <pivotField name="Апрель задолженность  (млн руб)" compact="0" numFmtId="3" outline="0" multipleItemSelectionAllowed="1" showAll="0"/>
    <pivotField name="Май объем  (млн руб)" dataField="1" compact="0" numFmtId="3" outline="0" multipleItemSelectionAllowed="1" showAll="0"/>
    <pivotField name="Май задолженность  (млн руб)" compact="0" numFmtId="3" outline="0" multipleItemSelectionAllowed="1" showAll="0"/>
    <pivotField name="Июнь объем  (млн руб)" dataField="1" compact="0" numFmtId="3" outline="0" multipleItemSelectionAllowed="1" showAll="0"/>
    <pivotField name="Июнь задолженность  (млн руб)" compact="0" numFmtId="3" outline="0" multipleItemSelectionAllowed="1" showAll="0"/>
    <pivotField name="Июль объем  (млн руб)" dataField="1" compact="0" numFmtId="3" outline="0" multipleItemSelectionAllowed="1" showAll="0"/>
    <pivotField name="Июль задолженность  (млн руб)" compact="0" numFmtId="3" outline="0" multipleItemSelectionAllowed="1" showAll="0"/>
    <pivotField name="Август объем  (млн руб)" dataField="1" compact="0" numFmtId="3" outline="0" multipleItemSelectionAllowed="1" showAll="0"/>
    <pivotField name="Август задолженность  (млн руб)" compact="0" numFmtId="3" outline="0" multipleItemSelectionAllowed="1" showAll="0"/>
    <pivotField name="Сентябрь объем  (млн руб)" dataField="1" compact="0" numFmtId="3" outline="0" multipleItemSelectionAllowed="1" showAll="0"/>
    <pivotField name="Сентябрь задолженность  (млн руб)" compact="0" numFmtId="3" outline="0" multipleItemSelectionAllowed="1" showAll="0"/>
    <pivotField name="Октябрь объем  (млн руб)" dataField="1" compact="0" numFmtId="3" outline="0" multipleItemSelectionAllowed="1" showAll="0"/>
    <pivotField name="Октябрь задолженность  (млн руб)" compact="0" numFmtId="3" outline="0" multipleItemSelectionAllowed="1" showAll="0"/>
    <pivotField name="Ноябрь объем  (млн руб)" dataField="1" compact="0" numFmtId="3" outline="0" multipleItemSelectionAllowed="1" showAll="0"/>
    <pivotField name="Ноябрь задолженность  (млн руб)" compact="0" numFmtId="3" outline="0" multipleItemSelectionAllowed="1" showAll="0"/>
    <pivotField name="Декабрь объем  (млн руб)" dataField="1" compact="0" numFmtId="3" outline="0" multipleItemSelectionAllowed="1" showAll="0"/>
    <pivotField name="Декабрь задолженность  (млн руб)" compact="0" numFmtId="3" outline="0" multipleItemSelectionAllowed="1" showAll="0"/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Объем общее (млн руб)" fld="2" baseField="0"/>
    <dataField name="SUM of Февраль объем  (млн руб)" fld="6" baseField="0"/>
    <dataField name="SUM of Март объем  (млн руб)" fld="8" baseField="0"/>
    <dataField name="SUM of Апрель объем  (млн руб)" fld="10" baseField="0"/>
    <dataField name="SUM of Май объем  (млн руб)" fld="12" baseField="0"/>
    <dataField name="SUM of Июнь объем  (млн руб)" fld="14" baseField="0"/>
    <dataField name="SUM of Июль объем  (млн руб)" fld="16" baseField="0"/>
    <dataField name="SUM of Август объем  (млн руб)" fld="18" baseField="0"/>
    <dataField name="SUM of Сентябрь объем  (млн руб)" fld="20" baseField="0"/>
    <dataField name="SUM of Октябрь объем  (млн руб)" fld="22" baseField="0"/>
    <dataField name="SUM of Ноябрь объем  (млн руб)" fld="24" baseField="0"/>
    <dataField name="SUM of Декабрь объем  (млн руб)" fld="2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Доля регионов в объеме кредитов" cacheId="5" applyNumberFormats="0" applyBorderFormats="0" applyFontFormats="0" applyPatternFormats="0" applyAlignmentFormats="0" applyWidthHeightFormats="0" dataCaption="" updatedVersion="8" compact="0" compactData="0">
  <location ref="A1:N90" firstHeaderRow="1" firstDataRow="2" firstDataCol="1"/>
  <pivotFields count="28">
    <pivotField name="Регионы" axis="axisRow" compact="0" numFmtId="49" outline="0" multipleItemSelectionAllowed="1" showAll="0" sortType="ascending">
      <items count="88">
        <item x="26"/>
        <item x="58"/>
        <item x="36"/>
        <item x="38"/>
        <item x="55"/>
        <item x="31"/>
        <item x="53"/>
        <item x="86"/>
        <item x="16"/>
        <item x="52"/>
        <item x="37"/>
        <item x="23"/>
        <item x="42"/>
        <item x="21"/>
        <item x="0"/>
        <item x="2"/>
        <item x="76"/>
        <item x="83"/>
        <item x="49"/>
        <item x="60"/>
        <item x="15"/>
        <item x="75"/>
        <item x="33"/>
        <item x="45"/>
        <item x="74"/>
        <item x="80"/>
        <item x="19"/>
        <item x="41"/>
        <item x="68"/>
        <item x="3"/>
        <item x="13"/>
        <item x="62"/>
        <item x="54"/>
        <item x="17"/>
        <item x="50"/>
        <item x="81"/>
        <item x="1"/>
        <item x="51"/>
        <item x="12"/>
        <item x="71"/>
        <item x="10"/>
        <item x="27"/>
        <item x="25"/>
        <item x="64"/>
        <item x="46"/>
        <item x="14"/>
        <item x="22"/>
        <item x="70"/>
        <item x="73"/>
        <item x="82"/>
        <item x="7"/>
        <item x="44"/>
        <item x="56"/>
        <item x="85"/>
        <item x="77"/>
        <item x="65"/>
        <item x="57"/>
        <item x="32"/>
        <item x="67"/>
        <item x="66"/>
        <item x="34"/>
        <item x="72"/>
        <item x="6"/>
        <item x="79"/>
        <item x="69"/>
        <item x="8"/>
        <item x="48"/>
        <item x="11"/>
        <item x="24"/>
        <item x="63"/>
        <item x="5"/>
        <item x="59"/>
        <item x="20"/>
        <item x="61"/>
        <item x="40"/>
        <item x="43"/>
        <item x="30"/>
        <item x="4"/>
        <item x="18"/>
        <item x="28"/>
        <item x="47"/>
        <item x="29"/>
        <item x="9"/>
        <item x="78"/>
        <item x="35"/>
        <item x="84"/>
        <item x="39"/>
        <item t="default"/>
      </items>
    </pivotField>
    <pivotField name="Федеральные округа" compact="0" numFmtId="49" outline="0" multipleItemSelectionAllowed="1" showAll="0"/>
    <pivotField name="Объем общее (млн руб)" dataField="1" compact="0" numFmtId="3" outline="0" multipleItemSelectionAllowed="1" showAll="0"/>
    <pivotField name="Задолженность общее  (млн руб)" compact="0" numFmtId="3" outline="0" multipleItemSelectionAllowed="1" showAll="0"/>
    <pivotField name="Январь объем  (млн руб)" dataField="1" compact="0" numFmtId="3" outline="0" multipleItemSelectionAllowed="1" showAll="0"/>
    <pivotField name="Январь задолженность  (млн руб)" compact="0" numFmtId="3" outline="0" multipleItemSelectionAllowed="1" showAll="0"/>
    <pivotField name="Февраль объем  (млн руб)" dataField="1" compact="0" numFmtId="3" outline="0" multipleItemSelectionAllowed="1" showAll="0"/>
    <pivotField name="Февраль задолженность  (млн руб)" compact="0" numFmtId="3" outline="0" multipleItemSelectionAllowed="1" showAll="0"/>
    <pivotField name="Март объем  (млн руб)" dataField="1" compact="0" numFmtId="3" outline="0" multipleItemSelectionAllowed="1" showAll="0"/>
    <pivotField name="Март задолженность  (млн руб)" compact="0" numFmtId="3" outline="0" multipleItemSelectionAllowed="1" showAll="0"/>
    <pivotField name="Апрель объем  (млн руб)" dataField="1" compact="0" numFmtId="3" outline="0" multipleItemSelectionAllowed="1" showAll="0"/>
    <pivotField name="Апрель задолженность  (млн руб)" compact="0" numFmtId="3" outline="0" multipleItemSelectionAllowed="1" showAll="0"/>
    <pivotField name="Май объем  (млн руб)" dataField="1" compact="0" numFmtId="3" outline="0" multipleItemSelectionAllowed="1" showAll="0"/>
    <pivotField name="Май задолженность  (млн руб)" compact="0" numFmtId="3" outline="0" multipleItemSelectionAllowed="1" showAll="0"/>
    <pivotField name="Июнь объем  (млн руб)" dataField="1" compact="0" numFmtId="3" outline="0" multipleItemSelectionAllowed="1" showAll="0"/>
    <pivotField name="Июнь задолженность  (млн руб)" compact="0" numFmtId="3" outline="0" multipleItemSelectionAllowed="1" showAll="0"/>
    <pivotField name="Июль объем  (млн руб)" dataField="1" compact="0" numFmtId="3" outline="0" multipleItemSelectionAllowed="1" showAll="0"/>
    <pivotField name="Июль задолженность  (млн руб)" compact="0" numFmtId="3" outline="0" multipleItemSelectionAllowed="1" showAll="0"/>
    <pivotField name="Август объем  (млн руб)" dataField="1" compact="0" numFmtId="3" outline="0" multipleItemSelectionAllowed="1" showAll="0"/>
    <pivotField name="Август задолженность  (млн руб)" compact="0" numFmtId="3" outline="0" multipleItemSelectionAllowed="1" showAll="0"/>
    <pivotField name="Сентябрь объем  (млн руб)" dataField="1" compact="0" numFmtId="3" outline="0" multipleItemSelectionAllowed="1" showAll="0"/>
    <pivotField name="Сентябрь задолженность  (млн руб)" compact="0" numFmtId="3" outline="0" multipleItemSelectionAllowed="1" showAll="0"/>
    <pivotField name="Октябрь объем  (млн руб)" dataField="1" compact="0" numFmtId="3" outline="0" multipleItemSelectionAllowed="1" showAll="0"/>
    <pivotField name="Октябрь задолженность  (млн руб)" compact="0" numFmtId="3" outline="0" multipleItemSelectionAllowed="1" showAll="0"/>
    <pivotField name="Ноябрь объем  (млн руб)" dataField="1" compact="0" numFmtId="3" outline="0" multipleItemSelectionAllowed="1" showAll="0"/>
    <pivotField name="Ноябрь задолженность  (млн руб)" compact="0" numFmtId="3" outline="0" multipleItemSelectionAllowed="1" showAll="0"/>
    <pivotField name="Декабрь объем  (млн руб)" dataField="1" compact="0" numFmtId="3" outline="0" multipleItemSelectionAllowed="1" showAll="0"/>
    <pivotField name="Декабрь задолженность  (млн руб)" compact="0" numFmtId="3" outline="0" multipleItemSelectionAllowed="1" showAll="0"/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Объем общее (млн руб)" fld="2" showDataAs="percentOfTotal" baseField="0" numFmtId="10"/>
    <dataField name="SUM of Январь объем  (млн руб)" fld="4" showDataAs="percentOfTotal" baseField="0" numFmtId="10"/>
    <dataField name="SUM of Февраль объем  (млн руб)" fld="6" showDataAs="percentOfTotal" baseField="0" numFmtId="10"/>
    <dataField name="SUM of Март объем  (млн руб)" fld="8" showDataAs="percentOfTotal" baseField="0" numFmtId="10"/>
    <dataField name="SUM of Апрель объем  (млн руб)" fld="10" showDataAs="percentOfTotal" baseField="0" numFmtId="10"/>
    <dataField name="SUM of Май объем  (млн руб)" fld="12" showDataAs="percentOfTotal" baseField="0" numFmtId="10"/>
    <dataField name="SUM of Июнь объем  (млн руб)" fld="14" showDataAs="percentOfTotal" baseField="0" numFmtId="10"/>
    <dataField name="SUM of Июль объем  (млн руб)" fld="16" showDataAs="percentOfTotal" baseField="0" numFmtId="10"/>
    <dataField name="SUM of Август объем  (млн руб)" fld="18" showDataAs="percentOfTotal" baseField="0" numFmtId="10"/>
    <dataField name="SUM of Сентябрь объем  (млн руб)" fld="20" showDataAs="percentOfTotal" baseField="0" numFmtId="10"/>
    <dataField name="SUM of Октябрь объем  (млн руб)" fld="22" showDataAs="percentOfTotal" baseField="0" numFmtId="10"/>
    <dataField name="SUM of Ноябрь объем  (млн руб)" fld="24" showDataAs="percentOfTotal" baseField="0" numFmtId="10"/>
    <dataField name="SUM of Декабрь объем  (млн руб)" fld="26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Объем и задолженность по округа" cacheId="5" applyNumberFormats="0" applyBorderFormats="0" applyFontFormats="0" applyPatternFormats="0" applyAlignmentFormats="0" applyWidthHeightFormats="0" dataCaption="" updatedVersion="8" compact="0" compactData="0">
  <location ref="A1:D11" firstHeaderRow="1" firstDataRow="2" firstDataCol="2"/>
  <pivotFields count="28">
    <pivotField name="Регионы" axis="axisRow" compact="0" numFmtId="49" outline="0" multipleItemSelectionAllowed="1" showAll="0" sortType="ascending">
      <items count="88">
        <item x="26"/>
        <item x="58"/>
        <item x="36"/>
        <item x="38"/>
        <item x="55"/>
        <item x="31"/>
        <item x="53"/>
        <item x="86"/>
        <item x="16"/>
        <item x="52"/>
        <item x="37"/>
        <item x="23"/>
        <item x="42"/>
        <item x="21"/>
        <item x="0"/>
        <item x="2"/>
        <item x="76"/>
        <item x="83"/>
        <item x="49"/>
        <item x="60"/>
        <item x="15"/>
        <item x="75"/>
        <item x="33"/>
        <item x="45"/>
        <item x="74"/>
        <item x="80"/>
        <item x="19"/>
        <item x="41"/>
        <item x="68"/>
        <item x="3"/>
        <item x="13"/>
        <item x="62"/>
        <item x="54"/>
        <item x="17"/>
        <item x="50"/>
        <item x="81"/>
        <item x="1"/>
        <item x="51"/>
        <item x="12"/>
        <item x="71"/>
        <item x="10"/>
        <item x="27"/>
        <item x="25"/>
        <item x="64"/>
        <item x="46"/>
        <item x="14"/>
        <item x="22"/>
        <item x="70"/>
        <item x="73"/>
        <item x="82"/>
        <item x="7"/>
        <item x="44"/>
        <item x="56"/>
        <item x="85"/>
        <item x="77"/>
        <item x="65"/>
        <item x="57"/>
        <item x="32"/>
        <item x="67"/>
        <item x="66"/>
        <item x="34"/>
        <item x="72"/>
        <item x="6"/>
        <item x="79"/>
        <item x="69"/>
        <item x="8"/>
        <item x="48"/>
        <item x="11"/>
        <item x="24"/>
        <item x="63"/>
        <item x="5"/>
        <item x="59"/>
        <item x="20"/>
        <item x="61"/>
        <item x="40"/>
        <item x="43"/>
        <item x="30"/>
        <item x="4"/>
        <item x="18"/>
        <item x="28"/>
        <item x="47"/>
        <item x="29"/>
        <item x="9"/>
        <item x="78"/>
        <item x="35"/>
        <item x="84"/>
        <item x="39"/>
        <item t="default"/>
      </items>
    </pivotField>
    <pivotField name="Федеральные округа" axis="axisRow" compact="0" numFmtId="49" outline="0" multipleItemSelectionAllowed="1" showAll="0" sortType="ascending">
      <items count="9">
        <item sd="0" x="7"/>
        <item sd="0" x="4"/>
        <item sd="0" x="1"/>
        <item sd="0" x="6"/>
        <item sd="0" x="5"/>
        <item sd="0" x="3"/>
        <item sd="0" x="0"/>
        <item sd="0" x="2"/>
        <item t="default"/>
      </items>
    </pivotField>
    <pivotField name="Объем общее (млн руб)" dataField="1" compact="0" numFmtId="3" outline="0" multipleItemSelectionAllowed="1" showAll="0"/>
    <pivotField name="Задолженность общее  (млн руб)" dataField="1" compact="0" numFmtId="3" outline="0" multipleItemSelectionAllowed="1" showAll="0"/>
    <pivotField name="Январь объем  (млн руб)" compact="0" numFmtId="3" outline="0" multipleItemSelectionAllowed="1" showAll="0"/>
    <pivotField name="Январь задолженность  (млн руб)" compact="0" numFmtId="3" outline="0" multipleItemSelectionAllowed="1" showAll="0"/>
    <pivotField name="Февраль объем  (млн руб)" compact="0" numFmtId="3" outline="0" multipleItemSelectionAllowed="1" showAll="0"/>
    <pivotField name="Февраль задолженность  (млн руб)" compact="0" numFmtId="3" outline="0" multipleItemSelectionAllowed="1" showAll="0"/>
    <pivotField name="Март объем  (млн руб)" compact="0" numFmtId="3" outline="0" multipleItemSelectionAllowed="1" showAll="0"/>
    <pivotField name="Март задолженность  (млн руб)" compact="0" numFmtId="3" outline="0" multipleItemSelectionAllowed="1" showAll="0"/>
    <pivotField name="Апрель объем  (млн руб)" compact="0" numFmtId="3" outline="0" multipleItemSelectionAllowed="1" showAll="0"/>
    <pivotField name="Апрель задолженность  (млн руб)" compact="0" numFmtId="3" outline="0" multipleItemSelectionAllowed="1" showAll="0"/>
    <pivotField name="Май объем  (млн руб)" compact="0" numFmtId="3" outline="0" multipleItemSelectionAllowed="1" showAll="0"/>
    <pivotField name="Май задолженность  (млн руб)" compact="0" numFmtId="3" outline="0" multipleItemSelectionAllowed="1" showAll="0"/>
    <pivotField name="Июнь объем  (млн руб)" compact="0" numFmtId="3" outline="0" multipleItemSelectionAllowed="1" showAll="0"/>
    <pivotField name="Июнь задолженность  (млн руб)" compact="0" numFmtId="3" outline="0" multipleItemSelectionAllowed="1" showAll="0"/>
    <pivotField name="Июль объем  (млн руб)" compact="0" numFmtId="3" outline="0" multipleItemSelectionAllowed="1" showAll="0"/>
    <pivotField name="Июль задолженность  (млн руб)" compact="0" numFmtId="3" outline="0" multipleItemSelectionAllowed="1" showAll="0"/>
    <pivotField name="Август объем  (млн руб)" compact="0" numFmtId="3" outline="0" multipleItemSelectionAllowed="1" showAll="0"/>
    <pivotField name="Август задолженность  (млн руб)" compact="0" numFmtId="3" outline="0" multipleItemSelectionAllowed="1" showAll="0"/>
    <pivotField name="Сентябрь объем  (млн руб)" compact="0" numFmtId="3" outline="0" multipleItemSelectionAllowed="1" showAll="0"/>
    <pivotField name="Сентябрь задолженность  (млн руб)" compact="0" numFmtId="3" outline="0" multipleItemSelectionAllowed="1" showAll="0"/>
    <pivotField name="Октябрь объем  (млн руб)" compact="0" numFmtId="3" outline="0" multipleItemSelectionAllowed="1" showAll="0"/>
    <pivotField name="Октябрь задолженность  (млн руб)" compact="0" numFmtId="3" outline="0" multipleItemSelectionAllowed="1" showAll="0"/>
    <pivotField name="Ноябрь объем  (млн руб)" compact="0" numFmtId="3" outline="0" multipleItemSelectionAllowed="1" showAll="0"/>
    <pivotField name="Ноябрь задолженность  (млн руб)" compact="0" numFmtId="3" outline="0" multipleItemSelectionAllowed="1" showAll="0"/>
    <pivotField name="Декабрь объем  (млн руб)" compact="0" numFmtId="3" outline="0" multipleItemSelectionAllowed="1" showAll="0"/>
    <pivotField name="Декабрь задолженность  (млн руб)" compact="0" numFmtId="3" outline="0" multipleItemSelectionAllowed="1" showAll="0"/>
  </pivotFields>
  <rowFields count="2">
    <field x="1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Объем общее (млн руб)" fld="2" baseField="0"/>
    <dataField name="SUM of Задолженность общее  (млн руб)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9"/>
  <sheetViews>
    <sheetView tabSelected="1" workbookViewId="0">
      <pane ySplit="1" topLeftCell="A2" activePane="bottomLeft" state="frozen"/>
      <selection pane="bottomLeft" activeCell="AI7" sqref="AI7"/>
    </sheetView>
  </sheetViews>
  <sheetFormatPr defaultColWidth="12.6640625" defaultRowHeight="15.75" customHeight="1"/>
  <cols>
    <col min="2" max="2" width="20.88671875" customWidth="1"/>
    <col min="3" max="3" width="13.77734375" customWidth="1"/>
    <col min="4" max="4" width="21.44140625" customWidth="1"/>
    <col min="5" max="5" width="14.77734375" customWidth="1"/>
    <col min="6" max="6" width="22" customWidth="1"/>
    <col min="7" max="7" width="15.88671875" customWidth="1"/>
    <col min="8" max="8" width="22.88671875" customWidth="1"/>
    <col min="10" max="10" width="19.21875" customWidth="1"/>
    <col min="11" max="11" width="13.21875" customWidth="1"/>
    <col min="12" max="12" width="21.44140625" customWidth="1"/>
    <col min="14" max="14" width="18.6640625" customWidth="1"/>
    <col min="16" max="16" width="19.33203125" customWidth="1"/>
    <col min="18" max="18" width="19.33203125" customWidth="1"/>
    <col min="19" max="19" width="13.44140625" customWidth="1"/>
    <col min="20" max="20" width="20.77734375" customWidth="1"/>
    <col min="21" max="21" width="15.21875" customWidth="1"/>
    <col min="22" max="22" width="22.44140625" customWidth="1"/>
    <col min="23" max="23" width="14.77734375" customWidth="1"/>
    <col min="24" max="24" width="21.88671875" customWidth="1"/>
    <col min="25" max="25" width="14.109375" customWidth="1"/>
    <col min="26" max="26" width="21.33203125" customWidth="1"/>
    <col min="27" max="27" width="14.44140625" customWidth="1"/>
    <col min="28" max="28" width="23.44140625" customWidth="1"/>
  </cols>
  <sheetData>
    <row r="1" spans="1:28" ht="45.6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3" t="s">
        <v>28</v>
      </c>
      <c r="B2" s="3" t="str">
        <f>VLOOKUP(A2,Примечания!$A:$B,2,0)</f>
        <v>ЦФО</v>
      </c>
      <c r="C2" s="4">
        <f t="shared" ref="C2:D2" si="0">E2+G2+I2+K2+M2+O2+Q2+S2+U2+W2+Y2+AA2</f>
        <v>3007763</v>
      </c>
      <c r="D2" s="4">
        <f t="shared" si="0"/>
        <v>51422135</v>
      </c>
      <c r="E2" s="5">
        <v>186725</v>
      </c>
      <c r="F2" s="5">
        <v>4208666</v>
      </c>
      <c r="G2" s="5">
        <v>205325</v>
      </c>
      <c r="H2" s="5">
        <v>4209311</v>
      </c>
      <c r="I2" s="5">
        <v>232037</v>
      </c>
      <c r="J2" s="5">
        <v>4218232</v>
      </c>
      <c r="K2" s="5">
        <v>231562</v>
      </c>
      <c r="L2" s="5">
        <v>4223317</v>
      </c>
      <c r="M2" s="5">
        <v>230539</v>
      </c>
      <c r="N2" s="5">
        <v>4239331</v>
      </c>
      <c r="O2" s="5">
        <v>235787</v>
      </c>
      <c r="P2" s="5">
        <v>4248421</v>
      </c>
      <c r="Q2" s="5">
        <v>252022</v>
      </c>
      <c r="R2" s="5">
        <v>4265347</v>
      </c>
      <c r="S2" s="5">
        <v>264348</v>
      </c>
      <c r="T2" s="5">
        <v>4295817</v>
      </c>
      <c r="U2" s="5">
        <v>269103</v>
      </c>
      <c r="V2" s="5">
        <v>4333273</v>
      </c>
      <c r="W2" s="5">
        <v>284678</v>
      </c>
      <c r="X2" s="5">
        <v>4370468</v>
      </c>
      <c r="Y2" s="5">
        <v>288975</v>
      </c>
      <c r="Z2" s="5">
        <v>4400824</v>
      </c>
      <c r="AA2" s="5">
        <v>326662</v>
      </c>
      <c r="AB2" s="5">
        <v>4409128</v>
      </c>
    </row>
    <row r="3" spans="1:28">
      <c r="A3" s="3" t="s">
        <v>29</v>
      </c>
      <c r="B3" s="3" t="str">
        <f>VLOOKUP(A3,Примечания!$A:$B,2,0)</f>
        <v>ЦФО</v>
      </c>
      <c r="C3" s="4">
        <f t="shared" ref="C3:D3" si="1">E3+G3+I3+K3+M3+O3+Q3+S3+U3+W3+Y3+AA3</f>
        <v>1804595</v>
      </c>
      <c r="D3" s="4">
        <f t="shared" si="1"/>
        <v>34616205</v>
      </c>
      <c r="E3" s="5">
        <v>111429</v>
      </c>
      <c r="F3" s="5">
        <v>2855222</v>
      </c>
      <c r="G3" s="5">
        <v>120510</v>
      </c>
      <c r="H3" s="5">
        <v>2849673</v>
      </c>
      <c r="I3" s="5">
        <v>136117</v>
      </c>
      <c r="J3" s="5">
        <v>2851648</v>
      </c>
      <c r="K3" s="5">
        <v>135141</v>
      </c>
      <c r="L3" s="5">
        <v>2853129</v>
      </c>
      <c r="M3" s="5">
        <v>139810</v>
      </c>
      <c r="N3" s="5">
        <v>2864894</v>
      </c>
      <c r="O3" s="5">
        <v>141043</v>
      </c>
      <c r="P3" s="5">
        <v>2866710</v>
      </c>
      <c r="Q3" s="5">
        <v>153628</v>
      </c>
      <c r="R3" s="5">
        <v>2862520</v>
      </c>
      <c r="S3" s="5">
        <v>163586</v>
      </c>
      <c r="T3" s="5">
        <v>2886151</v>
      </c>
      <c r="U3" s="5">
        <v>161819</v>
      </c>
      <c r="V3" s="5">
        <v>2904394</v>
      </c>
      <c r="W3" s="5">
        <v>174045</v>
      </c>
      <c r="X3" s="5">
        <v>2930016</v>
      </c>
      <c r="Y3" s="5">
        <v>171036</v>
      </c>
      <c r="Z3" s="5">
        <v>2943239</v>
      </c>
      <c r="AA3" s="5">
        <v>196431</v>
      </c>
      <c r="AB3" s="5">
        <v>2948609</v>
      </c>
    </row>
    <row r="4" spans="1:28">
      <c r="A4" s="3" t="s">
        <v>30</v>
      </c>
      <c r="B4" s="3" t="str">
        <f>VLOOKUP(A4,Примечания!$A:$B,2,0)</f>
        <v>СЗФО</v>
      </c>
      <c r="C4" s="4">
        <f t="shared" ref="C4:D4" si="2">E4+G4+I4+K4+M4+O4+Q4+S4+U4+W4+Y4+AA4</f>
        <v>1260287</v>
      </c>
      <c r="D4" s="4">
        <f t="shared" si="2"/>
        <v>22320395</v>
      </c>
      <c r="E4" s="5">
        <v>75195</v>
      </c>
      <c r="F4" s="5">
        <v>1830749</v>
      </c>
      <c r="G4" s="5">
        <v>82778</v>
      </c>
      <c r="H4" s="5">
        <v>1826667</v>
      </c>
      <c r="I4" s="5">
        <v>93989</v>
      </c>
      <c r="J4" s="5">
        <v>1828352</v>
      </c>
      <c r="K4" s="5">
        <v>94296</v>
      </c>
      <c r="L4" s="5">
        <v>1831717</v>
      </c>
      <c r="M4" s="5">
        <v>96291</v>
      </c>
      <c r="N4" s="5">
        <v>1839821</v>
      </c>
      <c r="O4" s="5">
        <v>98542</v>
      </c>
      <c r="P4" s="5">
        <v>1846241</v>
      </c>
      <c r="Q4" s="5">
        <v>104593</v>
      </c>
      <c r="R4" s="5">
        <v>1844711</v>
      </c>
      <c r="S4" s="5">
        <v>111507</v>
      </c>
      <c r="T4" s="5">
        <v>1859723</v>
      </c>
      <c r="U4" s="5">
        <v>115583</v>
      </c>
      <c r="V4" s="5">
        <v>1878060</v>
      </c>
      <c r="W4" s="5">
        <v>122128</v>
      </c>
      <c r="X4" s="5">
        <v>1896175</v>
      </c>
      <c r="Y4" s="5">
        <v>120759</v>
      </c>
      <c r="Z4" s="5">
        <v>1909919</v>
      </c>
      <c r="AA4" s="5">
        <v>144626</v>
      </c>
      <c r="AB4" s="5">
        <v>1928260</v>
      </c>
    </row>
    <row r="5" spans="1:28">
      <c r="A5" s="3" t="s">
        <v>31</v>
      </c>
      <c r="B5" s="3" t="str">
        <f>VLOOKUP(A5,Примечания!$A:$B,2,0)</f>
        <v>ЮФО</v>
      </c>
      <c r="C5" s="4">
        <f t="shared" ref="C5:D5" si="3">E5+G5+I5+K5+M5+O5+Q5+S5+U5+W5+Y5+AA5</f>
        <v>950912</v>
      </c>
      <c r="D5" s="4">
        <f t="shared" si="3"/>
        <v>18679592</v>
      </c>
      <c r="E5" s="5">
        <v>59494</v>
      </c>
      <c r="F5" s="5">
        <v>1530523</v>
      </c>
      <c r="G5" s="5">
        <v>62019</v>
      </c>
      <c r="H5" s="5">
        <v>1527763</v>
      </c>
      <c r="I5" s="5">
        <v>72505</v>
      </c>
      <c r="J5" s="5">
        <v>1531028</v>
      </c>
      <c r="K5" s="5">
        <v>71303</v>
      </c>
      <c r="L5" s="5">
        <v>1534060</v>
      </c>
      <c r="M5" s="5">
        <v>72845</v>
      </c>
      <c r="N5" s="5">
        <v>1540875</v>
      </c>
      <c r="O5" s="5">
        <v>75024</v>
      </c>
      <c r="P5" s="5">
        <v>1545883</v>
      </c>
      <c r="Q5" s="5">
        <v>80938</v>
      </c>
      <c r="R5" s="5">
        <v>1548264</v>
      </c>
      <c r="S5" s="5">
        <v>84200</v>
      </c>
      <c r="T5" s="5">
        <v>1558101</v>
      </c>
      <c r="U5" s="5">
        <v>83199</v>
      </c>
      <c r="V5" s="5">
        <v>1568795</v>
      </c>
      <c r="W5" s="5">
        <v>91344</v>
      </c>
      <c r="X5" s="5">
        <v>1584377</v>
      </c>
      <c r="Y5" s="5">
        <v>89839</v>
      </c>
      <c r="Z5" s="5">
        <v>1596253</v>
      </c>
      <c r="AA5" s="5">
        <v>108202</v>
      </c>
      <c r="AB5" s="5">
        <v>1613670</v>
      </c>
    </row>
    <row r="6" spans="1:28">
      <c r="A6" s="3" t="s">
        <v>32</v>
      </c>
      <c r="B6" s="3" t="str">
        <f>VLOOKUP(A6,Примечания!$A:$B,2,0)</f>
        <v>УФО</v>
      </c>
      <c r="C6" s="4">
        <f t="shared" ref="C6:D6" si="4">E6+G6+I6+K6+M6+O6+Q6+S6+U6+W6+Y6+AA6</f>
        <v>834483</v>
      </c>
      <c r="D6" s="4">
        <f t="shared" si="4"/>
        <v>17587655</v>
      </c>
      <c r="E6" s="5">
        <v>48313</v>
      </c>
      <c r="F6" s="5">
        <v>1454366</v>
      </c>
      <c r="G6" s="5">
        <v>52342</v>
      </c>
      <c r="H6" s="5">
        <v>1449306</v>
      </c>
      <c r="I6" s="5">
        <v>59943</v>
      </c>
      <c r="J6" s="5">
        <v>1447376</v>
      </c>
      <c r="K6" s="5">
        <v>64147</v>
      </c>
      <c r="L6" s="5">
        <v>1447788</v>
      </c>
      <c r="M6" s="5">
        <v>64015</v>
      </c>
      <c r="N6" s="5">
        <v>1452376</v>
      </c>
      <c r="O6" s="5">
        <v>66498</v>
      </c>
      <c r="P6" s="5">
        <v>1453169</v>
      </c>
      <c r="Q6" s="5">
        <v>74172</v>
      </c>
      <c r="R6" s="5">
        <v>1451768</v>
      </c>
      <c r="S6" s="5">
        <v>79311</v>
      </c>
      <c r="T6" s="5">
        <v>1468076</v>
      </c>
      <c r="U6" s="5">
        <v>74038</v>
      </c>
      <c r="V6" s="5">
        <v>1475802</v>
      </c>
      <c r="W6" s="5">
        <v>81525</v>
      </c>
      <c r="X6" s="5">
        <v>1489303</v>
      </c>
      <c r="Y6" s="5">
        <v>78653</v>
      </c>
      <c r="Z6" s="5">
        <v>1498053</v>
      </c>
      <c r="AA6" s="5">
        <v>91526</v>
      </c>
      <c r="AB6" s="5">
        <v>1500272</v>
      </c>
    </row>
    <row r="7" spans="1:28">
      <c r="A7" s="3" t="s">
        <v>33</v>
      </c>
      <c r="B7" s="3" t="str">
        <f>VLOOKUP(A7,Примечания!$A:$B,2,0)</f>
        <v>УФО</v>
      </c>
      <c r="C7" s="4">
        <f t="shared" ref="C7:D7" si="5">E7+G7+I7+K7+M7+O7+Q7+S7+U7+W7+Y7+AA7</f>
        <v>735598</v>
      </c>
      <c r="D7" s="4">
        <f t="shared" si="5"/>
        <v>13172610</v>
      </c>
      <c r="E7" s="5">
        <v>45186</v>
      </c>
      <c r="F7" s="5">
        <v>1088021</v>
      </c>
      <c r="G7" s="5">
        <v>47782</v>
      </c>
      <c r="H7" s="5">
        <v>1083727</v>
      </c>
      <c r="I7" s="5">
        <v>54263</v>
      </c>
      <c r="J7" s="5">
        <v>1082831</v>
      </c>
      <c r="K7" s="5">
        <v>54368</v>
      </c>
      <c r="L7" s="5">
        <v>1084501</v>
      </c>
      <c r="M7" s="5">
        <v>55758</v>
      </c>
      <c r="N7" s="5">
        <v>1088230</v>
      </c>
      <c r="O7" s="5">
        <v>58471</v>
      </c>
      <c r="P7" s="5">
        <v>1088509</v>
      </c>
      <c r="Q7" s="5">
        <v>62885</v>
      </c>
      <c r="R7" s="5">
        <v>1086247</v>
      </c>
      <c r="S7" s="5">
        <v>66749</v>
      </c>
      <c r="T7" s="5">
        <v>1096564</v>
      </c>
      <c r="U7" s="5">
        <v>66010</v>
      </c>
      <c r="V7" s="5">
        <v>1104926</v>
      </c>
      <c r="W7" s="5">
        <v>72535</v>
      </c>
      <c r="X7" s="5">
        <v>1117833</v>
      </c>
      <c r="Y7" s="5">
        <v>69264</v>
      </c>
      <c r="Z7" s="5">
        <v>1122543</v>
      </c>
      <c r="AA7" s="5">
        <v>82327</v>
      </c>
      <c r="AB7" s="5">
        <v>1128678</v>
      </c>
    </row>
    <row r="8" spans="1:28">
      <c r="A8" s="3" t="s">
        <v>34</v>
      </c>
      <c r="B8" s="3" t="str">
        <f>VLOOKUP(A8,Примечания!$A:$B,2,0)</f>
        <v>ПФО</v>
      </c>
      <c r="C8" s="4">
        <f t="shared" ref="C8:D8" si="6">E8+G8+I8+K8+M8+O8+Q8+S8+U8+W8+Y8+AA8</f>
        <v>652959</v>
      </c>
      <c r="D8" s="4">
        <f t="shared" si="6"/>
        <v>13558441</v>
      </c>
      <c r="E8" s="5">
        <v>36151</v>
      </c>
      <c r="F8" s="5">
        <v>1109504</v>
      </c>
      <c r="G8" s="5">
        <v>40307</v>
      </c>
      <c r="H8" s="5">
        <v>1106154</v>
      </c>
      <c r="I8" s="5">
        <v>47019</v>
      </c>
      <c r="J8" s="5">
        <v>1106308</v>
      </c>
      <c r="K8" s="5">
        <v>47361</v>
      </c>
      <c r="L8" s="5">
        <v>1108802</v>
      </c>
      <c r="M8" s="5">
        <v>49433</v>
      </c>
      <c r="N8" s="5">
        <v>1114553</v>
      </c>
      <c r="O8" s="5">
        <v>49967</v>
      </c>
      <c r="P8" s="5">
        <v>1116400</v>
      </c>
      <c r="Q8" s="5">
        <v>55958</v>
      </c>
      <c r="R8" s="5">
        <v>1118820</v>
      </c>
      <c r="S8" s="5">
        <v>58997</v>
      </c>
      <c r="T8" s="5">
        <v>1130953</v>
      </c>
      <c r="U8" s="5">
        <v>59303</v>
      </c>
      <c r="V8" s="5">
        <v>1140409</v>
      </c>
      <c r="W8" s="5">
        <v>67991</v>
      </c>
      <c r="X8" s="5">
        <v>1157094</v>
      </c>
      <c r="Y8" s="5">
        <v>63876</v>
      </c>
      <c r="Z8" s="5">
        <v>1168347</v>
      </c>
      <c r="AA8" s="5">
        <v>76596</v>
      </c>
      <c r="AB8" s="5">
        <v>1181097</v>
      </c>
    </row>
    <row r="9" spans="1:28">
      <c r="A9" s="3" t="s">
        <v>35</v>
      </c>
      <c r="B9" s="3" t="str">
        <f>VLOOKUP(A9,Примечания!$A:$B,2,0)</f>
        <v>ПФО</v>
      </c>
      <c r="C9" s="4">
        <f t="shared" ref="C9:D9" si="7">E9+G9+I9+K9+M9+O9+Q9+S9+U9+W9+Y9+AA9</f>
        <v>596428</v>
      </c>
      <c r="D9" s="4">
        <f t="shared" si="7"/>
        <v>12573577</v>
      </c>
      <c r="E9" s="5">
        <v>34209</v>
      </c>
      <c r="F9" s="5">
        <v>1041904</v>
      </c>
      <c r="G9" s="5">
        <v>37233</v>
      </c>
      <c r="H9" s="5">
        <v>1037421</v>
      </c>
      <c r="I9" s="5">
        <v>42691</v>
      </c>
      <c r="J9" s="5">
        <v>1035648</v>
      </c>
      <c r="K9" s="5">
        <v>44222</v>
      </c>
      <c r="L9" s="5">
        <v>1034469</v>
      </c>
      <c r="M9" s="5">
        <v>45119</v>
      </c>
      <c r="N9" s="5">
        <v>1037494</v>
      </c>
      <c r="O9" s="5">
        <v>46920</v>
      </c>
      <c r="P9" s="5">
        <v>1038237</v>
      </c>
      <c r="Q9" s="5">
        <v>51768</v>
      </c>
      <c r="R9" s="5">
        <v>1035439</v>
      </c>
      <c r="S9" s="5">
        <v>55642</v>
      </c>
      <c r="T9" s="5">
        <v>1046508</v>
      </c>
      <c r="U9" s="5">
        <v>52663</v>
      </c>
      <c r="V9" s="5">
        <v>1053690</v>
      </c>
      <c r="W9" s="5">
        <v>58900</v>
      </c>
      <c r="X9" s="5">
        <v>1063006</v>
      </c>
      <c r="Y9" s="5">
        <v>57004</v>
      </c>
      <c r="Z9" s="5">
        <v>1070727</v>
      </c>
      <c r="AA9" s="5">
        <v>70057</v>
      </c>
      <c r="AB9" s="5">
        <v>1079034</v>
      </c>
    </row>
    <row r="10" spans="1:28">
      <c r="A10" s="3" t="s">
        <v>36</v>
      </c>
      <c r="B10" s="3" t="str">
        <f>VLOOKUP(A10,Примечания!$A:$B,2,0)</f>
        <v>ЮФО</v>
      </c>
      <c r="C10" s="4">
        <f t="shared" ref="C10:D10" si="8">E10+G10+I10+K10+M10+O10+Q10+S10+U10+W10+Y10+AA10</f>
        <v>589286</v>
      </c>
      <c r="D10" s="4">
        <f t="shared" si="8"/>
        <v>10495448</v>
      </c>
      <c r="E10" s="5">
        <v>35128</v>
      </c>
      <c r="F10" s="5">
        <v>862591</v>
      </c>
      <c r="G10" s="5">
        <v>36545</v>
      </c>
      <c r="H10" s="5">
        <v>859371</v>
      </c>
      <c r="I10" s="5">
        <v>42987</v>
      </c>
      <c r="J10" s="5">
        <v>860045</v>
      </c>
      <c r="K10" s="5">
        <v>44079</v>
      </c>
      <c r="L10" s="5">
        <v>862042</v>
      </c>
      <c r="M10" s="5">
        <v>45029</v>
      </c>
      <c r="N10" s="5">
        <v>866282</v>
      </c>
      <c r="O10" s="5">
        <v>45906</v>
      </c>
      <c r="P10" s="5">
        <v>867493</v>
      </c>
      <c r="Q10" s="5">
        <v>49471</v>
      </c>
      <c r="R10" s="5">
        <v>866324</v>
      </c>
      <c r="S10" s="5">
        <v>52119</v>
      </c>
      <c r="T10" s="5">
        <v>874118</v>
      </c>
      <c r="U10" s="5">
        <v>51007</v>
      </c>
      <c r="V10" s="5">
        <v>879884</v>
      </c>
      <c r="W10" s="5">
        <v>57069</v>
      </c>
      <c r="X10" s="5">
        <v>889344</v>
      </c>
      <c r="Y10" s="5">
        <v>56925</v>
      </c>
      <c r="Z10" s="5">
        <v>897208</v>
      </c>
      <c r="AA10" s="5">
        <v>73021</v>
      </c>
      <c r="AB10" s="5">
        <v>910746</v>
      </c>
    </row>
    <row r="11" spans="1:28">
      <c r="A11" s="3" t="s">
        <v>37</v>
      </c>
      <c r="B11" s="3" t="str">
        <f>VLOOKUP(A11,Примечания!$A:$B,2,0)</f>
        <v>УФО</v>
      </c>
      <c r="C11" s="4">
        <f t="shared" ref="C11:D11" si="9">E11+G11+I11+K11+M11+O11+Q11+S11+U11+W11+Y11+AA11</f>
        <v>508567</v>
      </c>
      <c r="D11" s="4">
        <f t="shared" si="9"/>
        <v>8701496</v>
      </c>
      <c r="E11" s="5">
        <v>30583</v>
      </c>
      <c r="F11" s="5">
        <v>721272</v>
      </c>
      <c r="G11" s="5">
        <v>33054</v>
      </c>
      <c r="H11" s="5">
        <v>717953</v>
      </c>
      <c r="I11" s="5">
        <v>37500</v>
      </c>
      <c r="J11" s="5">
        <v>716616</v>
      </c>
      <c r="K11" s="5">
        <v>37471</v>
      </c>
      <c r="L11" s="5">
        <v>716560</v>
      </c>
      <c r="M11" s="5">
        <v>38540</v>
      </c>
      <c r="N11" s="5">
        <v>718736</v>
      </c>
      <c r="O11" s="5">
        <v>40529</v>
      </c>
      <c r="P11" s="5">
        <v>718582</v>
      </c>
      <c r="Q11" s="5">
        <v>44057</v>
      </c>
      <c r="R11" s="5">
        <v>716825</v>
      </c>
      <c r="S11" s="5">
        <v>47327</v>
      </c>
      <c r="T11" s="5">
        <v>724698</v>
      </c>
      <c r="U11" s="5">
        <v>45510</v>
      </c>
      <c r="V11" s="5">
        <v>729638</v>
      </c>
      <c r="W11" s="5">
        <v>49529</v>
      </c>
      <c r="X11" s="5">
        <v>736489</v>
      </c>
      <c r="Y11" s="5">
        <v>47593</v>
      </c>
      <c r="Z11" s="5">
        <v>740176</v>
      </c>
      <c r="AA11" s="5">
        <v>56874</v>
      </c>
      <c r="AB11" s="5">
        <v>743951</v>
      </c>
    </row>
    <row r="12" spans="1:28">
      <c r="A12" s="3" t="s">
        <v>38</v>
      </c>
      <c r="B12" s="3" t="str">
        <f>VLOOKUP(A12,Примечания!$A:$B,2,0)</f>
        <v>СФО</v>
      </c>
      <c r="C12" s="4">
        <f t="shared" ref="C12:D12" si="10">E12+G12+I12+K12+M12+O12+Q12+S12+U12+W12+Y12+AA12</f>
        <v>478363</v>
      </c>
      <c r="D12" s="4">
        <f t="shared" si="10"/>
        <v>9356891</v>
      </c>
      <c r="E12" s="5">
        <v>28964</v>
      </c>
      <c r="F12" s="5">
        <v>775907</v>
      </c>
      <c r="G12" s="5">
        <v>31224</v>
      </c>
      <c r="H12" s="5">
        <v>773096</v>
      </c>
      <c r="I12" s="5">
        <v>36246</v>
      </c>
      <c r="J12" s="5">
        <v>773350</v>
      </c>
      <c r="K12" s="5">
        <v>36195</v>
      </c>
      <c r="L12" s="5">
        <v>774091</v>
      </c>
      <c r="M12" s="5">
        <v>36900</v>
      </c>
      <c r="N12" s="5">
        <v>776585</v>
      </c>
      <c r="O12" s="5">
        <v>38422</v>
      </c>
      <c r="P12" s="5">
        <v>774824</v>
      </c>
      <c r="Q12" s="5">
        <v>41357</v>
      </c>
      <c r="R12" s="5">
        <v>773364</v>
      </c>
      <c r="S12" s="5">
        <v>43659</v>
      </c>
      <c r="T12" s="5">
        <v>779831</v>
      </c>
      <c r="U12" s="5">
        <v>41721</v>
      </c>
      <c r="V12" s="5">
        <v>782704</v>
      </c>
      <c r="W12" s="5">
        <v>46709</v>
      </c>
      <c r="X12" s="5">
        <v>789292</v>
      </c>
      <c r="Y12" s="5">
        <v>44379</v>
      </c>
      <c r="Z12" s="5">
        <v>790410</v>
      </c>
      <c r="AA12" s="5">
        <v>52587</v>
      </c>
      <c r="AB12" s="5">
        <v>793437</v>
      </c>
    </row>
    <row r="13" spans="1:28">
      <c r="A13" s="3" t="s">
        <v>39</v>
      </c>
      <c r="B13" s="3" t="str">
        <f>VLOOKUP(A13,Примечания!$A:$B,2,0)</f>
        <v>ПФО</v>
      </c>
      <c r="C13" s="4">
        <f t="shared" ref="C13:D13" si="11">E13+G13+I13+K13+M13+O13+Q13+S13+U13+W13+Y13+AA13</f>
        <v>452202</v>
      </c>
      <c r="D13" s="4">
        <f t="shared" si="11"/>
        <v>7196556</v>
      </c>
      <c r="E13" s="5">
        <v>27962</v>
      </c>
      <c r="F13" s="5">
        <v>601169</v>
      </c>
      <c r="G13" s="5">
        <v>29402</v>
      </c>
      <c r="H13" s="5">
        <v>597050</v>
      </c>
      <c r="I13" s="5">
        <v>33763</v>
      </c>
      <c r="J13" s="5">
        <v>595619</v>
      </c>
      <c r="K13" s="5">
        <v>33797</v>
      </c>
      <c r="L13" s="5">
        <v>595025</v>
      </c>
      <c r="M13" s="5">
        <v>35551</v>
      </c>
      <c r="N13" s="5">
        <v>596882</v>
      </c>
      <c r="O13" s="5">
        <v>36181</v>
      </c>
      <c r="P13" s="5">
        <v>595593</v>
      </c>
      <c r="Q13" s="5">
        <v>39231</v>
      </c>
      <c r="R13" s="5">
        <v>592733</v>
      </c>
      <c r="S13" s="5">
        <v>41238</v>
      </c>
      <c r="T13" s="5">
        <v>597725</v>
      </c>
      <c r="U13" s="5">
        <v>40453</v>
      </c>
      <c r="V13" s="5">
        <v>601304</v>
      </c>
      <c r="W13" s="5">
        <v>43661</v>
      </c>
      <c r="X13" s="5">
        <v>605450</v>
      </c>
      <c r="Y13" s="5">
        <v>42548</v>
      </c>
      <c r="Z13" s="5">
        <v>608415</v>
      </c>
      <c r="AA13" s="5">
        <v>48415</v>
      </c>
      <c r="AB13" s="5">
        <v>609591</v>
      </c>
    </row>
    <row r="14" spans="1:28">
      <c r="A14" s="3" t="s">
        <v>40</v>
      </c>
      <c r="B14" s="3" t="str">
        <f>VLOOKUP(A14,Примечания!$A:$B,2,0)</f>
        <v>ПФО</v>
      </c>
      <c r="C14" s="4">
        <f t="shared" ref="C14:D14" si="12">E14+G14+I14+K14+M14+O14+Q14+S14+U14+W14+Y14+AA14</f>
        <v>446933</v>
      </c>
      <c r="D14" s="4">
        <f t="shared" si="12"/>
        <v>7255010</v>
      </c>
      <c r="E14" s="5">
        <v>27770</v>
      </c>
      <c r="F14" s="5">
        <v>599759</v>
      </c>
      <c r="G14" s="5">
        <v>28862</v>
      </c>
      <c r="H14" s="5">
        <v>597184</v>
      </c>
      <c r="I14" s="5">
        <v>32575</v>
      </c>
      <c r="J14" s="5">
        <v>595586</v>
      </c>
      <c r="K14" s="5">
        <v>33064</v>
      </c>
      <c r="L14" s="5">
        <v>596169</v>
      </c>
      <c r="M14" s="5">
        <v>33324</v>
      </c>
      <c r="N14" s="5">
        <v>597540</v>
      </c>
      <c r="O14" s="5">
        <v>35480</v>
      </c>
      <c r="P14" s="5">
        <v>597901</v>
      </c>
      <c r="Q14" s="5">
        <v>37637</v>
      </c>
      <c r="R14" s="5">
        <v>597218</v>
      </c>
      <c r="S14" s="5">
        <v>40994</v>
      </c>
      <c r="T14" s="5">
        <v>603803</v>
      </c>
      <c r="U14" s="5">
        <v>40073</v>
      </c>
      <c r="V14" s="5">
        <v>608670</v>
      </c>
      <c r="W14" s="5">
        <v>44411</v>
      </c>
      <c r="X14" s="5">
        <v>615981</v>
      </c>
      <c r="Y14" s="5">
        <v>43144</v>
      </c>
      <c r="Z14" s="5">
        <v>621002</v>
      </c>
      <c r="AA14" s="5">
        <v>49599</v>
      </c>
      <c r="AB14" s="5">
        <v>624197</v>
      </c>
    </row>
    <row r="15" spans="1:28">
      <c r="A15" s="3" t="s">
        <v>41</v>
      </c>
      <c r="B15" s="3" t="str">
        <f>VLOOKUP(A15,Примечания!$A:$B,2,0)</f>
        <v>СФО</v>
      </c>
      <c r="C15" s="4">
        <f t="shared" ref="C15:D15" si="13">E15+G15+I15+K15+M15+O15+Q15+S15+U15+W15+Y15+AA15</f>
        <v>443731</v>
      </c>
      <c r="D15" s="4">
        <f t="shared" si="13"/>
        <v>8544450</v>
      </c>
      <c r="E15" s="5">
        <v>27193</v>
      </c>
      <c r="F15" s="5">
        <v>715123</v>
      </c>
      <c r="G15" s="5">
        <v>28415</v>
      </c>
      <c r="H15" s="5">
        <v>710924</v>
      </c>
      <c r="I15" s="5">
        <v>32732</v>
      </c>
      <c r="J15" s="5">
        <v>708909</v>
      </c>
      <c r="K15" s="5">
        <v>33816</v>
      </c>
      <c r="L15" s="5">
        <v>708873</v>
      </c>
      <c r="M15" s="5">
        <v>35261</v>
      </c>
      <c r="N15" s="5">
        <v>710834</v>
      </c>
      <c r="O15" s="5">
        <v>36222</v>
      </c>
      <c r="P15" s="5">
        <v>709967</v>
      </c>
      <c r="Q15" s="5">
        <v>38588</v>
      </c>
      <c r="R15" s="5">
        <v>706662</v>
      </c>
      <c r="S15" s="5">
        <v>40241</v>
      </c>
      <c r="T15" s="5">
        <v>711004</v>
      </c>
      <c r="U15" s="5">
        <v>39261</v>
      </c>
      <c r="V15" s="5">
        <v>713317</v>
      </c>
      <c r="W15" s="5">
        <v>42699</v>
      </c>
      <c r="X15" s="5">
        <v>716951</v>
      </c>
      <c r="Y15" s="5">
        <v>40860</v>
      </c>
      <c r="Z15" s="5">
        <v>716970</v>
      </c>
      <c r="AA15" s="5">
        <v>48443</v>
      </c>
      <c r="AB15" s="5">
        <v>714916</v>
      </c>
    </row>
    <row r="16" spans="1:28">
      <c r="A16" s="3" t="s">
        <v>42</v>
      </c>
      <c r="B16" s="3" t="str">
        <f>VLOOKUP(A16,Примечания!$A:$B,2,0)</f>
        <v>ПФО</v>
      </c>
      <c r="C16" s="4">
        <f t="shared" ref="C16:D16" si="14">E16+G16+I16+K16+M16+O16+Q16+S16+U16+W16+Y16+AA16</f>
        <v>416245</v>
      </c>
      <c r="D16" s="4">
        <f t="shared" si="14"/>
        <v>7240512</v>
      </c>
      <c r="E16" s="5">
        <v>24502</v>
      </c>
      <c r="F16" s="5">
        <v>594223</v>
      </c>
      <c r="G16" s="5">
        <v>26188</v>
      </c>
      <c r="H16" s="5">
        <v>591998</v>
      </c>
      <c r="I16" s="5">
        <v>30033</v>
      </c>
      <c r="J16" s="5">
        <v>591962</v>
      </c>
      <c r="K16" s="5">
        <v>30370</v>
      </c>
      <c r="L16" s="5">
        <v>592895</v>
      </c>
      <c r="M16" s="5">
        <v>31920</v>
      </c>
      <c r="N16" s="5">
        <v>595707</v>
      </c>
      <c r="O16" s="5">
        <v>32719</v>
      </c>
      <c r="P16" s="5">
        <v>596408</v>
      </c>
      <c r="Q16" s="5">
        <v>36219</v>
      </c>
      <c r="R16" s="5">
        <v>597022</v>
      </c>
      <c r="S16" s="5">
        <v>38811</v>
      </c>
      <c r="T16" s="5">
        <v>604527</v>
      </c>
      <c r="U16" s="5">
        <v>37037</v>
      </c>
      <c r="V16" s="5">
        <v>609587</v>
      </c>
      <c r="W16" s="5">
        <v>41515</v>
      </c>
      <c r="X16" s="5">
        <v>617304</v>
      </c>
      <c r="Y16" s="5">
        <v>39598</v>
      </c>
      <c r="Z16" s="5">
        <v>621995</v>
      </c>
      <c r="AA16" s="5">
        <v>47333</v>
      </c>
      <c r="AB16" s="5">
        <v>626884</v>
      </c>
    </row>
    <row r="17" spans="1:28">
      <c r="A17" s="3" t="s">
        <v>43</v>
      </c>
      <c r="B17" s="3" t="str">
        <f>VLOOKUP(A17,Примечания!$A:$B,2,0)</f>
        <v>СФО</v>
      </c>
      <c r="C17" s="4">
        <f t="shared" ref="C17:D17" si="15">E17+G17+I17+K17+M17+O17+Q17+S17+U17+W17+Y17+AA17</f>
        <v>362780</v>
      </c>
      <c r="D17" s="4">
        <f t="shared" si="15"/>
        <v>6836268</v>
      </c>
      <c r="E17" s="5">
        <v>22358</v>
      </c>
      <c r="F17" s="5">
        <v>574368</v>
      </c>
      <c r="G17" s="5">
        <v>23234</v>
      </c>
      <c r="H17" s="5">
        <v>570715</v>
      </c>
      <c r="I17" s="5">
        <v>26554</v>
      </c>
      <c r="J17" s="5">
        <v>568791</v>
      </c>
      <c r="K17" s="5">
        <v>26933</v>
      </c>
      <c r="L17" s="5">
        <v>567172</v>
      </c>
      <c r="M17" s="5">
        <v>28469</v>
      </c>
      <c r="N17" s="5">
        <v>568174</v>
      </c>
      <c r="O17" s="5">
        <v>29131</v>
      </c>
      <c r="P17" s="5">
        <v>566539</v>
      </c>
      <c r="Q17" s="5">
        <v>32180</v>
      </c>
      <c r="R17" s="5">
        <v>564349</v>
      </c>
      <c r="S17" s="5">
        <v>34164</v>
      </c>
      <c r="T17" s="5">
        <v>568813</v>
      </c>
      <c r="U17" s="5">
        <v>32192</v>
      </c>
      <c r="V17" s="5">
        <v>569962</v>
      </c>
      <c r="W17" s="5">
        <v>34966</v>
      </c>
      <c r="X17" s="5">
        <v>572607</v>
      </c>
      <c r="Y17" s="5">
        <v>33267</v>
      </c>
      <c r="Z17" s="5">
        <v>572284</v>
      </c>
      <c r="AA17" s="5">
        <v>39332</v>
      </c>
      <c r="AB17" s="5">
        <v>572494</v>
      </c>
    </row>
    <row r="18" spans="1:28">
      <c r="A18" s="3" t="s">
        <v>44</v>
      </c>
      <c r="B18" s="3" t="str">
        <f>VLOOKUP(A18,Примечания!$A:$B,2,0)</f>
        <v>УФО</v>
      </c>
      <c r="C18" s="4">
        <f t="shared" ref="C18:D18" si="16">E18+G18+I18+K18+M18+O18+Q18+S18+U18+W18+Y18+AA18</f>
        <v>356633</v>
      </c>
      <c r="D18" s="4">
        <f t="shared" si="16"/>
        <v>7974792</v>
      </c>
      <c r="E18" s="5">
        <v>20361</v>
      </c>
      <c r="F18" s="5">
        <v>662411</v>
      </c>
      <c r="G18" s="5">
        <v>22174</v>
      </c>
      <c r="H18" s="5">
        <v>659993</v>
      </c>
      <c r="I18" s="5">
        <v>25675</v>
      </c>
      <c r="J18" s="5">
        <v>659243</v>
      </c>
      <c r="K18" s="5">
        <v>29672</v>
      </c>
      <c r="L18" s="5">
        <v>659026</v>
      </c>
      <c r="M18" s="5">
        <v>27697</v>
      </c>
      <c r="N18" s="5">
        <v>661426</v>
      </c>
      <c r="O18" s="5">
        <v>28414</v>
      </c>
      <c r="P18" s="5">
        <v>660483</v>
      </c>
      <c r="Q18" s="5">
        <v>31095</v>
      </c>
      <c r="R18" s="5">
        <v>657380</v>
      </c>
      <c r="S18" s="5">
        <v>33469</v>
      </c>
      <c r="T18" s="5">
        <v>663885</v>
      </c>
      <c r="U18" s="5">
        <v>31641</v>
      </c>
      <c r="V18" s="5">
        <v>666769</v>
      </c>
      <c r="W18" s="5">
        <v>34572</v>
      </c>
      <c r="X18" s="5">
        <v>672142</v>
      </c>
      <c r="Y18" s="5">
        <v>33220</v>
      </c>
      <c r="Z18" s="5">
        <v>674808</v>
      </c>
      <c r="AA18" s="5">
        <v>38643</v>
      </c>
      <c r="AB18" s="5">
        <v>677226</v>
      </c>
    </row>
    <row r="19" spans="1:28">
      <c r="A19" s="3" t="s">
        <v>45</v>
      </c>
      <c r="B19" s="3" t="str">
        <f>VLOOKUP(A19,Примечания!$A:$B,2,0)</f>
        <v>СЗФО</v>
      </c>
      <c r="C19" s="4">
        <f t="shared" ref="C19:D19" si="17">E19+G19+I19+K19+M19+O19+Q19+S19+U19+W19+Y19+AA19</f>
        <v>354290</v>
      </c>
      <c r="D19" s="4">
        <f t="shared" si="17"/>
        <v>7013300</v>
      </c>
      <c r="E19" s="5">
        <v>20740</v>
      </c>
      <c r="F19" s="5">
        <v>576362</v>
      </c>
      <c r="G19" s="5">
        <v>22610</v>
      </c>
      <c r="H19" s="5">
        <v>574586</v>
      </c>
      <c r="I19" s="5">
        <v>26212</v>
      </c>
      <c r="J19" s="5">
        <v>574933</v>
      </c>
      <c r="K19" s="5">
        <v>26150</v>
      </c>
      <c r="L19" s="5">
        <v>575776</v>
      </c>
      <c r="M19" s="5">
        <v>26794</v>
      </c>
      <c r="N19" s="5">
        <v>577503</v>
      </c>
      <c r="O19" s="5">
        <v>27967</v>
      </c>
      <c r="P19" s="5">
        <v>579519</v>
      </c>
      <c r="Q19" s="5">
        <v>29841</v>
      </c>
      <c r="R19" s="5">
        <v>579249</v>
      </c>
      <c r="S19" s="5">
        <v>32674</v>
      </c>
      <c r="T19" s="5">
        <v>584584</v>
      </c>
      <c r="U19" s="5">
        <v>32344</v>
      </c>
      <c r="V19" s="5">
        <v>589765</v>
      </c>
      <c r="W19" s="5">
        <v>34654</v>
      </c>
      <c r="X19" s="5">
        <v>596148</v>
      </c>
      <c r="Y19" s="5">
        <v>34143</v>
      </c>
      <c r="Z19" s="5">
        <v>600316</v>
      </c>
      <c r="AA19" s="5">
        <v>40161</v>
      </c>
      <c r="AB19" s="5">
        <v>604559</v>
      </c>
    </row>
    <row r="20" spans="1:28">
      <c r="A20" s="3" t="s">
        <v>46</v>
      </c>
      <c r="B20" s="3" t="str">
        <f>VLOOKUP(A20,Примечания!$A:$B,2,0)</f>
        <v>УФО</v>
      </c>
      <c r="C20" s="4">
        <f t="shared" ref="C20:D20" si="18">E20+G20+I20+K20+M20+O20+Q20+S20+U20+W20+Y20+AA20</f>
        <v>345490</v>
      </c>
      <c r="D20" s="4">
        <f t="shared" si="18"/>
        <v>6590966</v>
      </c>
      <c r="E20" s="5">
        <v>20169</v>
      </c>
      <c r="F20" s="5">
        <v>537927</v>
      </c>
      <c r="G20" s="5">
        <v>21849</v>
      </c>
      <c r="H20" s="5">
        <v>536782</v>
      </c>
      <c r="I20" s="5">
        <v>25165</v>
      </c>
      <c r="J20" s="5">
        <v>537361</v>
      </c>
      <c r="K20" s="5">
        <v>25049</v>
      </c>
      <c r="L20" s="5">
        <v>538630</v>
      </c>
      <c r="M20" s="5">
        <v>26318</v>
      </c>
      <c r="N20" s="5">
        <v>540909</v>
      </c>
      <c r="O20" s="5">
        <v>27019</v>
      </c>
      <c r="P20" s="5">
        <v>543024</v>
      </c>
      <c r="Q20" s="5">
        <v>30697</v>
      </c>
      <c r="R20" s="5">
        <v>545374</v>
      </c>
      <c r="S20" s="5">
        <v>32601</v>
      </c>
      <c r="T20" s="5">
        <v>552660</v>
      </c>
      <c r="U20" s="5">
        <v>30646</v>
      </c>
      <c r="V20" s="5">
        <v>556531</v>
      </c>
      <c r="W20" s="5">
        <v>33955</v>
      </c>
      <c r="X20" s="5">
        <v>563007</v>
      </c>
      <c r="Y20" s="5">
        <v>33435</v>
      </c>
      <c r="Z20" s="5">
        <v>568450</v>
      </c>
      <c r="AA20" s="5">
        <v>38587</v>
      </c>
      <c r="AB20" s="5">
        <v>570311</v>
      </c>
    </row>
    <row r="21" spans="1:28">
      <c r="A21" s="3" t="s">
        <v>47</v>
      </c>
      <c r="B21" s="3" t="str">
        <f>VLOOKUP(A21,Примечания!$A:$B,2,0)</f>
        <v>СФО</v>
      </c>
      <c r="C21" s="4">
        <f t="shared" ref="C21:D21" si="19">E21+G21+I21+K21+M21+O21+Q21+S21+U21+W21+Y21+AA21</f>
        <v>342277</v>
      </c>
      <c r="D21" s="4">
        <f t="shared" si="19"/>
        <v>6066116</v>
      </c>
      <c r="E21" s="5">
        <v>21444</v>
      </c>
      <c r="F21" s="5">
        <v>510640</v>
      </c>
      <c r="G21" s="5">
        <v>22496</v>
      </c>
      <c r="H21" s="5">
        <v>506877</v>
      </c>
      <c r="I21" s="5">
        <v>25890</v>
      </c>
      <c r="J21" s="5">
        <v>505031</v>
      </c>
      <c r="K21" s="5">
        <v>26335</v>
      </c>
      <c r="L21" s="5">
        <v>504526</v>
      </c>
      <c r="M21" s="5">
        <v>26803</v>
      </c>
      <c r="N21" s="5">
        <v>505266</v>
      </c>
      <c r="O21" s="5">
        <v>27650</v>
      </c>
      <c r="P21" s="5">
        <v>502816</v>
      </c>
      <c r="Q21" s="5">
        <v>29728</v>
      </c>
      <c r="R21" s="5">
        <v>500250</v>
      </c>
      <c r="S21" s="5">
        <v>32169</v>
      </c>
      <c r="T21" s="5">
        <v>504182</v>
      </c>
      <c r="U21" s="5">
        <v>30578</v>
      </c>
      <c r="V21" s="5">
        <v>505209</v>
      </c>
      <c r="W21" s="5">
        <v>32651</v>
      </c>
      <c r="X21" s="5">
        <v>507475</v>
      </c>
      <c r="Y21" s="5">
        <v>31298</v>
      </c>
      <c r="Z21" s="5">
        <v>507144</v>
      </c>
      <c r="AA21" s="5">
        <v>35235</v>
      </c>
      <c r="AB21" s="5">
        <v>506700</v>
      </c>
    </row>
    <row r="22" spans="1:28">
      <c r="A22" s="3" t="s">
        <v>48</v>
      </c>
      <c r="B22" s="3" t="str">
        <f>VLOOKUP(A22,Примечания!$A:$B,2,0)</f>
        <v>СКФО</v>
      </c>
      <c r="C22" s="4">
        <f t="shared" ref="C22:D22" si="20">E22+G22+I22+K22+M22+O22+Q22+S22+U22+W22+Y22+AA22</f>
        <v>327387</v>
      </c>
      <c r="D22" s="4">
        <f t="shared" si="20"/>
        <v>6214732</v>
      </c>
      <c r="E22" s="5">
        <v>19670</v>
      </c>
      <c r="F22" s="5">
        <v>514535</v>
      </c>
      <c r="G22" s="5">
        <v>20505</v>
      </c>
      <c r="H22" s="5">
        <v>512217</v>
      </c>
      <c r="I22" s="5">
        <v>23578</v>
      </c>
      <c r="J22" s="5">
        <v>511607</v>
      </c>
      <c r="K22" s="5">
        <v>23725</v>
      </c>
      <c r="L22" s="5">
        <v>511513</v>
      </c>
      <c r="M22" s="5">
        <v>24547</v>
      </c>
      <c r="N22" s="5">
        <v>513132</v>
      </c>
      <c r="O22" s="5">
        <v>25729</v>
      </c>
      <c r="P22" s="5">
        <v>513563</v>
      </c>
      <c r="Q22" s="5">
        <v>28084</v>
      </c>
      <c r="R22" s="5">
        <v>512576</v>
      </c>
      <c r="S22" s="5">
        <v>29682</v>
      </c>
      <c r="T22" s="5">
        <v>516699</v>
      </c>
      <c r="U22" s="5">
        <v>29281</v>
      </c>
      <c r="V22" s="5">
        <v>520028</v>
      </c>
      <c r="W22" s="5">
        <v>31890</v>
      </c>
      <c r="X22" s="5">
        <v>524962</v>
      </c>
      <c r="Y22" s="5">
        <v>32057</v>
      </c>
      <c r="Z22" s="5">
        <v>529520</v>
      </c>
      <c r="AA22" s="5">
        <v>38639</v>
      </c>
      <c r="AB22" s="5">
        <v>534380</v>
      </c>
    </row>
    <row r="23" spans="1:28">
      <c r="A23" s="3" t="s">
        <v>49</v>
      </c>
      <c r="B23" s="3" t="str">
        <f>VLOOKUP(A23,Примечания!$A:$B,2,0)</f>
        <v>ЦФО</v>
      </c>
      <c r="C23" s="4">
        <f t="shared" ref="C23:D23" si="21">E23+G23+I23+K23+M23+O23+Q23+S23+U23+W23+Y23+AA23</f>
        <v>300907</v>
      </c>
      <c r="D23" s="4">
        <f t="shared" si="21"/>
        <v>5273758</v>
      </c>
      <c r="E23" s="5">
        <v>18334</v>
      </c>
      <c r="F23" s="5">
        <v>435868</v>
      </c>
      <c r="G23" s="5">
        <v>19495</v>
      </c>
      <c r="H23" s="5">
        <v>434156</v>
      </c>
      <c r="I23" s="5">
        <v>22411</v>
      </c>
      <c r="J23" s="5">
        <v>433943</v>
      </c>
      <c r="K23" s="5">
        <v>22134</v>
      </c>
      <c r="L23" s="5">
        <v>434160</v>
      </c>
      <c r="M23" s="5">
        <v>22773</v>
      </c>
      <c r="N23" s="5">
        <v>435280</v>
      </c>
      <c r="O23" s="5">
        <v>23821</v>
      </c>
      <c r="P23" s="5">
        <v>435973</v>
      </c>
      <c r="Q23" s="5">
        <v>26003</v>
      </c>
      <c r="R23" s="5">
        <v>435466</v>
      </c>
      <c r="S23" s="5">
        <v>26770</v>
      </c>
      <c r="T23" s="5">
        <v>439296</v>
      </c>
      <c r="U23" s="5">
        <v>26440</v>
      </c>
      <c r="V23" s="5">
        <v>442136</v>
      </c>
      <c r="W23" s="5">
        <v>28954</v>
      </c>
      <c r="X23" s="5">
        <v>445865</v>
      </c>
      <c r="Y23" s="5">
        <v>28881</v>
      </c>
      <c r="Z23" s="5">
        <v>448885</v>
      </c>
      <c r="AA23" s="5">
        <v>34891</v>
      </c>
      <c r="AB23" s="5">
        <v>452730</v>
      </c>
    </row>
    <row r="24" spans="1:28">
      <c r="A24" s="3" t="s">
        <v>50</v>
      </c>
      <c r="B24" s="3" t="str">
        <f>VLOOKUP(A24,Примечания!$A:$B,2,0)</f>
        <v>ДФО</v>
      </c>
      <c r="C24" s="4">
        <f t="shared" ref="C24:D24" si="22">E24+G24+I24+K24+M24+O24+Q24+S24+U24+W24+Y24+AA24</f>
        <v>300331</v>
      </c>
      <c r="D24" s="4">
        <f t="shared" si="22"/>
        <v>6486716</v>
      </c>
      <c r="E24" s="5">
        <v>18190</v>
      </c>
      <c r="F24" s="5">
        <v>533615</v>
      </c>
      <c r="G24" s="5">
        <v>20380</v>
      </c>
      <c r="H24" s="5">
        <v>533603</v>
      </c>
      <c r="I24" s="5">
        <v>23040</v>
      </c>
      <c r="J24" s="5">
        <v>534945</v>
      </c>
      <c r="K24" s="5">
        <v>22686</v>
      </c>
      <c r="L24" s="5">
        <v>536032</v>
      </c>
      <c r="M24" s="5">
        <v>23395</v>
      </c>
      <c r="N24" s="5">
        <v>538591</v>
      </c>
      <c r="O24" s="5">
        <v>24642</v>
      </c>
      <c r="P24" s="5">
        <v>539623</v>
      </c>
      <c r="Q24" s="5">
        <v>26101</v>
      </c>
      <c r="R24" s="5">
        <v>536354</v>
      </c>
      <c r="S24" s="5">
        <v>26523</v>
      </c>
      <c r="T24" s="5">
        <v>540290</v>
      </c>
      <c r="U24" s="5">
        <v>26784</v>
      </c>
      <c r="V24" s="5">
        <v>543910</v>
      </c>
      <c r="W24" s="5">
        <v>28077</v>
      </c>
      <c r="X24" s="5">
        <v>547970</v>
      </c>
      <c r="Y24" s="5">
        <v>28054</v>
      </c>
      <c r="Z24" s="5">
        <v>550836</v>
      </c>
      <c r="AA24" s="5">
        <v>32459</v>
      </c>
      <c r="AB24" s="5">
        <v>550947</v>
      </c>
    </row>
    <row r="25" spans="1:28">
      <c r="A25" s="3" t="s">
        <v>51</v>
      </c>
      <c r="B25" s="3" t="str">
        <f>VLOOKUP(A25,Примечания!$A:$B,2,0)</f>
        <v>ЮФО</v>
      </c>
      <c r="C25" s="4">
        <f t="shared" ref="C25:D25" si="23">E25+G25+I25+K25+M25+O25+Q25+S25+U25+W25+Y25+AA25</f>
        <v>287681</v>
      </c>
      <c r="D25" s="4">
        <f t="shared" si="23"/>
        <v>4842355</v>
      </c>
      <c r="E25" s="5">
        <v>18222</v>
      </c>
      <c r="F25" s="5">
        <v>402604</v>
      </c>
      <c r="G25" s="5">
        <v>18785</v>
      </c>
      <c r="H25" s="5">
        <v>400593</v>
      </c>
      <c r="I25" s="5">
        <v>21741</v>
      </c>
      <c r="J25" s="5">
        <v>400374</v>
      </c>
      <c r="K25" s="5">
        <v>21812</v>
      </c>
      <c r="L25" s="5">
        <v>400550</v>
      </c>
      <c r="M25" s="5">
        <v>22462</v>
      </c>
      <c r="N25" s="5">
        <v>402226</v>
      </c>
      <c r="O25" s="5">
        <v>22495</v>
      </c>
      <c r="P25" s="5">
        <v>401381</v>
      </c>
      <c r="Q25" s="5">
        <v>24725</v>
      </c>
      <c r="R25" s="5">
        <v>399447</v>
      </c>
      <c r="S25" s="5">
        <v>26091</v>
      </c>
      <c r="T25" s="5">
        <v>403051</v>
      </c>
      <c r="U25" s="5">
        <v>25196</v>
      </c>
      <c r="V25" s="5">
        <v>404247</v>
      </c>
      <c r="W25" s="5">
        <v>27763</v>
      </c>
      <c r="X25" s="5">
        <v>407544</v>
      </c>
      <c r="Y25" s="5">
        <v>26967</v>
      </c>
      <c r="Z25" s="5">
        <v>409663</v>
      </c>
      <c r="AA25" s="5">
        <v>31422</v>
      </c>
      <c r="AB25" s="5">
        <v>410675</v>
      </c>
    </row>
    <row r="26" spans="1:28">
      <c r="A26" s="3" t="s">
        <v>52</v>
      </c>
      <c r="B26" s="3" t="str">
        <f>VLOOKUP(A26,Примечания!$A:$B,2,0)</f>
        <v>ПФО</v>
      </c>
      <c r="C26" s="4">
        <f t="shared" ref="C26:D26" si="24">E26+G26+I26+K26+M26+O26+Q26+S26+U26+W26+Y26+AA26</f>
        <v>283621</v>
      </c>
      <c r="D26" s="4">
        <f t="shared" si="24"/>
        <v>4613230</v>
      </c>
      <c r="E26" s="5">
        <v>17186</v>
      </c>
      <c r="F26" s="5">
        <v>387147</v>
      </c>
      <c r="G26" s="5">
        <v>18159</v>
      </c>
      <c r="H26" s="5">
        <v>385045</v>
      </c>
      <c r="I26" s="5">
        <v>20990</v>
      </c>
      <c r="J26" s="5">
        <v>383981</v>
      </c>
      <c r="K26" s="5">
        <v>20742</v>
      </c>
      <c r="L26" s="5">
        <v>383184</v>
      </c>
      <c r="M26" s="5">
        <v>23159</v>
      </c>
      <c r="N26" s="5">
        <v>384296</v>
      </c>
      <c r="O26" s="5">
        <v>23241</v>
      </c>
      <c r="P26" s="5">
        <v>382774</v>
      </c>
      <c r="Q26" s="5">
        <v>24825</v>
      </c>
      <c r="R26" s="5">
        <v>379950</v>
      </c>
      <c r="S26" s="5">
        <v>25526</v>
      </c>
      <c r="T26" s="5">
        <v>382711</v>
      </c>
      <c r="U26" s="5">
        <v>25250</v>
      </c>
      <c r="V26" s="5">
        <v>384038</v>
      </c>
      <c r="W26" s="5">
        <v>26700</v>
      </c>
      <c r="X26" s="5">
        <v>385781</v>
      </c>
      <c r="Y26" s="5">
        <v>26347</v>
      </c>
      <c r="Z26" s="5">
        <v>386633</v>
      </c>
      <c r="AA26" s="5">
        <v>31496</v>
      </c>
      <c r="AB26" s="5">
        <v>387690</v>
      </c>
    </row>
    <row r="27" spans="1:28">
      <c r="A27" s="3" t="s">
        <v>53</v>
      </c>
      <c r="B27" s="3" t="str">
        <f>VLOOKUP(A27,Примечания!$A:$B,2,0)</f>
        <v>ПФО</v>
      </c>
      <c r="C27" s="4">
        <f t="shared" ref="C27:D27" si="25">E27+G27+I27+K27+M27+O27+Q27+S27+U27+W27+Y27+AA27</f>
        <v>276528</v>
      </c>
      <c r="D27" s="4">
        <f t="shared" si="25"/>
        <v>4962852</v>
      </c>
      <c r="E27" s="5">
        <v>15939</v>
      </c>
      <c r="F27" s="5">
        <v>410724</v>
      </c>
      <c r="G27" s="5">
        <v>16889</v>
      </c>
      <c r="H27" s="5">
        <v>408773</v>
      </c>
      <c r="I27" s="5">
        <v>19538</v>
      </c>
      <c r="J27" s="5">
        <v>407872</v>
      </c>
      <c r="K27" s="5">
        <v>20492</v>
      </c>
      <c r="L27" s="5">
        <v>408541</v>
      </c>
      <c r="M27" s="5">
        <v>22920</v>
      </c>
      <c r="N27" s="5">
        <v>410230</v>
      </c>
      <c r="O27" s="5">
        <v>23061</v>
      </c>
      <c r="P27" s="5">
        <v>409986</v>
      </c>
      <c r="Q27" s="5">
        <v>24671</v>
      </c>
      <c r="R27" s="5">
        <v>408638</v>
      </c>
      <c r="S27" s="5">
        <v>25447</v>
      </c>
      <c r="T27" s="5">
        <v>413334</v>
      </c>
      <c r="U27" s="5">
        <v>24437</v>
      </c>
      <c r="V27" s="5">
        <v>416060</v>
      </c>
      <c r="W27" s="5">
        <v>26591</v>
      </c>
      <c r="X27" s="5">
        <v>420018</v>
      </c>
      <c r="Y27" s="5">
        <v>25570</v>
      </c>
      <c r="Z27" s="5">
        <v>422906</v>
      </c>
      <c r="AA27" s="5">
        <v>30973</v>
      </c>
      <c r="AB27" s="5">
        <v>425770</v>
      </c>
    </row>
    <row r="28" spans="1:28">
      <c r="A28" s="3" t="s">
        <v>54</v>
      </c>
      <c r="B28" s="3" t="str">
        <f>VLOOKUP(A28,Примечания!$A:$B,2,0)</f>
        <v>СФО</v>
      </c>
      <c r="C28" s="4">
        <f t="shared" ref="C28:D28" si="26">E28+G28+I28+K28+M28+O28+Q28+S28+U28+W28+Y28+AA28</f>
        <v>266068</v>
      </c>
      <c r="D28" s="4">
        <f t="shared" si="26"/>
        <v>4808783</v>
      </c>
      <c r="E28" s="5">
        <v>16360</v>
      </c>
      <c r="F28" s="5">
        <v>402227</v>
      </c>
      <c r="G28" s="5">
        <v>17266</v>
      </c>
      <c r="H28" s="5">
        <v>399942</v>
      </c>
      <c r="I28" s="5">
        <v>19778</v>
      </c>
      <c r="J28" s="5">
        <v>398838</v>
      </c>
      <c r="K28" s="5">
        <v>19963</v>
      </c>
      <c r="L28" s="5">
        <v>398440</v>
      </c>
      <c r="M28" s="5">
        <v>20605</v>
      </c>
      <c r="N28" s="5">
        <v>399457</v>
      </c>
      <c r="O28" s="5">
        <v>21153</v>
      </c>
      <c r="P28" s="5">
        <v>397674</v>
      </c>
      <c r="Q28" s="5">
        <v>23697</v>
      </c>
      <c r="R28" s="5">
        <v>397111</v>
      </c>
      <c r="S28" s="5">
        <v>24814</v>
      </c>
      <c r="T28" s="5">
        <v>400724</v>
      </c>
      <c r="U28" s="5">
        <v>23356</v>
      </c>
      <c r="V28" s="5">
        <v>401674</v>
      </c>
      <c r="W28" s="5">
        <v>25340</v>
      </c>
      <c r="X28" s="5">
        <v>403720</v>
      </c>
      <c r="Y28" s="5">
        <v>24719</v>
      </c>
      <c r="Z28" s="5">
        <v>404325</v>
      </c>
      <c r="AA28" s="5">
        <v>29017</v>
      </c>
      <c r="AB28" s="5">
        <v>404651</v>
      </c>
    </row>
    <row r="29" spans="1:28">
      <c r="A29" s="3" t="s">
        <v>55</v>
      </c>
      <c r="B29" s="3" t="str">
        <f>VLOOKUP(A29,Примечания!$A:$B,2,0)</f>
        <v>СФО</v>
      </c>
      <c r="C29" s="4">
        <f t="shared" ref="C29:D29" si="27">E29+G29+I29+K29+M29+O29+Q29+S29+U29+W29+Y29+AA29</f>
        <v>263946</v>
      </c>
      <c r="D29" s="4">
        <f t="shared" si="27"/>
        <v>4534205</v>
      </c>
      <c r="E29" s="5">
        <v>16562</v>
      </c>
      <c r="F29" s="5">
        <v>378209</v>
      </c>
      <c r="G29" s="5">
        <v>17581</v>
      </c>
      <c r="H29" s="5">
        <v>376701</v>
      </c>
      <c r="I29" s="5">
        <v>20284</v>
      </c>
      <c r="J29" s="5">
        <v>376387</v>
      </c>
      <c r="K29" s="5">
        <v>19767</v>
      </c>
      <c r="L29" s="5">
        <v>376185</v>
      </c>
      <c r="M29" s="5">
        <v>20362</v>
      </c>
      <c r="N29" s="5">
        <v>377199</v>
      </c>
      <c r="O29" s="5">
        <v>20760</v>
      </c>
      <c r="P29" s="5">
        <v>375440</v>
      </c>
      <c r="Q29" s="5">
        <v>22541</v>
      </c>
      <c r="R29" s="5">
        <v>373944</v>
      </c>
      <c r="S29" s="5">
        <v>23681</v>
      </c>
      <c r="T29" s="5">
        <v>376970</v>
      </c>
      <c r="U29" s="5">
        <v>23105</v>
      </c>
      <c r="V29" s="5">
        <v>378238</v>
      </c>
      <c r="W29" s="5">
        <v>25249</v>
      </c>
      <c r="X29" s="5">
        <v>380312</v>
      </c>
      <c r="Y29" s="5">
        <v>24775</v>
      </c>
      <c r="Z29" s="5">
        <v>381385</v>
      </c>
      <c r="AA29" s="5">
        <v>29279</v>
      </c>
      <c r="AB29" s="5">
        <v>383235</v>
      </c>
    </row>
    <row r="30" spans="1:28">
      <c r="A30" s="3" t="s">
        <v>56</v>
      </c>
      <c r="B30" s="3" t="str">
        <f>VLOOKUP(A30,Примечания!$A:$B,2,0)</f>
        <v>ПФО</v>
      </c>
      <c r="C30" s="4">
        <f t="shared" ref="C30:D30" si="28">E30+G30+I30+K30+M30+O30+Q30+S30+U30+W30+Y30+AA30</f>
        <v>240929</v>
      </c>
      <c r="D30" s="4">
        <f t="shared" si="28"/>
        <v>4858404</v>
      </c>
      <c r="E30" s="5">
        <v>13264</v>
      </c>
      <c r="F30" s="5">
        <v>394257</v>
      </c>
      <c r="G30" s="5">
        <v>14567</v>
      </c>
      <c r="H30" s="5">
        <v>393365</v>
      </c>
      <c r="I30" s="5">
        <v>17300</v>
      </c>
      <c r="J30" s="5">
        <v>394213</v>
      </c>
      <c r="K30" s="5">
        <v>17356</v>
      </c>
      <c r="L30" s="5">
        <v>395794</v>
      </c>
      <c r="M30" s="5">
        <v>17859</v>
      </c>
      <c r="N30" s="5">
        <v>398010</v>
      </c>
      <c r="O30" s="5">
        <v>18776</v>
      </c>
      <c r="P30" s="5">
        <v>400280</v>
      </c>
      <c r="Q30" s="5">
        <v>20186</v>
      </c>
      <c r="R30" s="5">
        <v>401006</v>
      </c>
      <c r="S30" s="5">
        <v>22343</v>
      </c>
      <c r="T30" s="5">
        <v>406343</v>
      </c>
      <c r="U30" s="5">
        <v>21713</v>
      </c>
      <c r="V30" s="5">
        <v>410368</v>
      </c>
      <c r="W30" s="5">
        <v>24442</v>
      </c>
      <c r="X30" s="5">
        <v>416437</v>
      </c>
      <c r="Y30" s="5">
        <v>23473</v>
      </c>
      <c r="Z30" s="5">
        <v>420849</v>
      </c>
      <c r="AA30" s="5">
        <v>29650</v>
      </c>
      <c r="AB30" s="5">
        <v>427482</v>
      </c>
    </row>
    <row r="31" spans="1:28">
      <c r="A31" s="3" t="s">
        <v>57</v>
      </c>
      <c r="B31" s="3" t="str">
        <f>VLOOKUP(A31,Примечания!$A:$B,2,0)</f>
        <v>ДФО</v>
      </c>
      <c r="C31" s="4">
        <f t="shared" ref="C31:D31" si="29">E31+G31+I31+K31+M31+O31+Q31+S31+U31+W31+Y31+AA31</f>
        <v>214358</v>
      </c>
      <c r="D31" s="4">
        <f t="shared" si="29"/>
        <v>4309102</v>
      </c>
      <c r="E31" s="5">
        <v>12714</v>
      </c>
      <c r="F31" s="5">
        <v>354073</v>
      </c>
      <c r="G31" s="5">
        <v>13925</v>
      </c>
      <c r="H31" s="5">
        <v>353462</v>
      </c>
      <c r="I31" s="5">
        <v>15889</v>
      </c>
      <c r="J31" s="5">
        <v>353905</v>
      </c>
      <c r="K31" s="5">
        <v>16747</v>
      </c>
      <c r="L31" s="5">
        <v>355162</v>
      </c>
      <c r="M31" s="5">
        <v>17164</v>
      </c>
      <c r="N31" s="5">
        <v>357653</v>
      </c>
      <c r="O31" s="5">
        <v>17648</v>
      </c>
      <c r="P31" s="5">
        <v>358605</v>
      </c>
      <c r="Q31" s="5">
        <v>19451</v>
      </c>
      <c r="R31" s="5">
        <v>356744</v>
      </c>
      <c r="S31" s="5">
        <v>19928</v>
      </c>
      <c r="T31" s="5">
        <v>360629</v>
      </c>
      <c r="U31" s="5">
        <v>18804</v>
      </c>
      <c r="V31" s="5">
        <v>362539</v>
      </c>
      <c r="W31" s="5">
        <v>20350</v>
      </c>
      <c r="X31" s="5">
        <v>365229</v>
      </c>
      <c r="Y31" s="5">
        <v>19390</v>
      </c>
      <c r="Z31" s="5">
        <v>366344</v>
      </c>
      <c r="AA31" s="5">
        <v>22348</v>
      </c>
      <c r="AB31" s="5">
        <v>364757</v>
      </c>
    </row>
    <row r="32" spans="1:28">
      <c r="A32" s="3" t="s">
        <v>58</v>
      </c>
      <c r="B32" s="3" t="str">
        <f>VLOOKUP(A32,Примечания!$A:$B,2,0)</f>
        <v>ЦФО</v>
      </c>
      <c r="C32" s="4">
        <f t="shared" ref="C32:D32" si="30">E32+G32+I32+K32+M32+O32+Q32+S32+U32+W32+Y32+AA32</f>
        <v>201958</v>
      </c>
      <c r="D32" s="4">
        <f t="shared" si="30"/>
        <v>3827932</v>
      </c>
      <c r="E32" s="5">
        <v>12044</v>
      </c>
      <c r="F32" s="5">
        <v>316359</v>
      </c>
      <c r="G32" s="5">
        <v>13025</v>
      </c>
      <c r="H32" s="5">
        <v>314923</v>
      </c>
      <c r="I32" s="5">
        <v>15158</v>
      </c>
      <c r="J32" s="5">
        <v>315045</v>
      </c>
      <c r="K32" s="5">
        <v>15111</v>
      </c>
      <c r="L32" s="5">
        <v>315320</v>
      </c>
      <c r="M32" s="5">
        <v>15112</v>
      </c>
      <c r="N32" s="5">
        <v>316342</v>
      </c>
      <c r="O32" s="5">
        <v>15474</v>
      </c>
      <c r="P32" s="5">
        <v>316188</v>
      </c>
      <c r="Q32" s="5">
        <v>17150</v>
      </c>
      <c r="R32" s="5">
        <v>314982</v>
      </c>
      <c r="S32" s="5">
        <v>18019</v>
      </c>
      <c r="T32" s="5">
        <v>318035</v>
      </c>
      <c r="U32" s="5">
        <v>17753</v>
      </c>
      <c r="V32" s="5">
        <v>320008</v>
      </c>
      <c r="W32" s="5">
        <v>20259</v>
      </c>
      <c r="X32" s="5">
        <v>324076</v>
      </c>
      <c r="Y32" s="5">
        <v>19597</v>
      </c>
      <c r="Z32" s="5">
        <v>326942</v>
      </c>
      <c r="AA32" s="5">
        <v>23256</v>
      </c>
      <c r="AB32" s="5">
        <v>329712</v>
      </c>
    </row>
    <row r="33" spans="1:28">
      <c r="A33" s="3" t="s">
        <v>59</v>
      </c>
      <c r="B33" s="3" t="str">
        <f>VLOOKUP(A33,Примечания!$A:$B,2,0)</f>
        <v>ЦФО</v>
      </c>
      <c r="C33" s="4">
        <f t="shared" ref="C33:D33" si="31">E33+G33+I33+K33+M33+O33+Q33+S33+U33+W33+Y33+AA33</f>
        <v>194701</v>
      </c>
      <c r="D33" s="4">
        <f t="shared" si="31"/>
        <v>3355111</v>
      </c>
      <c r="E33" s="5">
        <v>11366</v>
      </c>
      <c r="F33" s="5">
        <v>277856</v>
      </c>
      <c r="G33" s="5">
        <v>12225</v>
      </c>
      <c r="H33" s="5">
        <v>276232</v>
      </c>
      <c r="I33" s="5">
        <v>13481</v>
      </c>
      <c r="J33" s="5">
        <v>275224</v>
      </c>
      <c r="K33" s="5">
        <v>13989</v>
      </c>
      <c r="L33" s="5">
        <v>274889</v>
      </c>
      <c r="M33" s="5">
        <v>14785</v>
      </c>
      <c r="N33" s="5">
        <v>275813</v>
      </c>
      <c r="O33" s="5">
        <v>15320</v>
      </c>
      <c r="P33" s="5">
        <v>276291</v>
      </c>
      <c r="Q33" s="5">
        <v>16988</v>
      </c>
      <c r="R33" s="5">
        <v>276555</v>
      </c>
      <c r="S33" s="5">
        <v>17692</v>
      </c>
      <c r="T33" s="5">
        <v>279586</v>
      </c>
      <c r="U33" s="5">
        <v>17171</v>
      </c>
      <c r="V33" s="5">
        <v>281237</v>
      </c>
      <c r="W33" s="5">
        <v>19380</v>
      </c>
      <c r="X33" s="5">
        <v>284336</v>
      </c>
      <c r="Y33" s="5">
        <v>19434</v>
      </c>
      <c r="Z33" s="5">
        <v>287380</v>
      </c>
      <c r="AA33" s="5">
        <v>22870</v>
      </c>
      <c r="AB33" s="5">
        <v>289712</v>
      </c>
    </row>
    <row r="34" spans="1:28">
      <c r="A34" s="3" t="s">
        <v>60</v>
      </c>
      <c r="B34" s="3" t="str">
        <f>VLOOKUP(A34,Примечания!$A:$B,2,0)</f>
        <v>ЮФО</v>
      </c>
      <c r="C34" s="4">
        <f t="shared" ref="C34:D34" si="32">E34+G34+I34+K34+M34+O34+Q34+S34+U34+W34+Y34+AA34</f>
        <v>191608</v>
      </c>
      <c r="D34" s="4">
        <f t="shared" si="32"/>
        <v>2353464</v>
      </c>
      <c r="E34" s="5">
        <v>13718</v>
      </c>
      <c r="F34" s="5">
        <v>189305</v>
      </c>
      <c r="G34" s="5">
        <v>14197</v>
      </c>
      <c r="H34" s="5">
        <v>189611</v>
      </c>
      <c r="I34" s="5">
        <v>15236</v>
      </c>
      <c r="J34" s="5">
        <v>190233</v>
      </c>
      <c r="K34" s="5">
        <v>14185</v>
      </c>
      <c r="L34" s="5">
        <v>190458</v>
      </c>
      <c r="M34" s="5">
        <v>13894</v>
      </c>
      <c r="N34" s="5">
        <v>191663</v>
      </c>
      <c r="O34" s="5">
        <v>13761</v>
      </c>
      <c r="P34" s="5">
        <v>192595</v>
      </c>
      <c r="Q34" s="5">
        <v>15604</v>
      </c>
      <c r="R34" s="5">
        <v>194148</v>
      </c>
      <c r="S34" s="5">
        <v>15936</v>
      </c>
      <c r="T34" s="5">
        <v>196537</v>
      </c>
      <c r="U34" s="5">
        <v>16163</v>
      </c>
      <c r="V34" s="5">
        <v>199090</v>
      </c>
      <c r="W34" s="5">
        <v>18365</v>
      </c>
      <c r="X34" s="5">
        <v>202830</v>
      </c>
      <c r="Y34" s="5">
        <v>17971</v>
      </c>
      <c r="Z34" s="5">
        <v>205793</v>
      </c>
      <c r="AA34" s="5">
        <v>22578</v>
      </c>
      <c r="AB34" s="5">
        <v>211201</v>
      </c>
    </row>
    <row r="35" spans="1:28">
      <c r="A35" s="3" t="s">
        <v>61</v>
      </c>
      <c r="B35" s="3" t="str">
        <f>VLOOKUP(A35,Примечания!$A:$B,2,0)</f>
        <v>СЗФО</v>
      </c>
      <c r="C35" s="4">
        <f t="shared" ref="C35:D35" si="33">E35+G35+I35+K35+M35+O35+Q35+S35+U35+W35+Y35+AA35</f>
        <v>186914</v>
      </c>
      <c r="D35" s="4">
        <f t="shared" si="33"/>
        <v>2874493</v>
      </c>
      <c r="E35" s="5">
        <v>11273</v>
      </c>
      <c r="F35" s="5">
        <v>234954</v>
      </c>
      <c r="G35" s="5">
        <v>12105</v>
      </c>
      <c r="H35" s="5">
        <v>234393</v>
      </c>
      <c r="I35" s="5">
        <v>14490</v>
      </c>
      <c r="J35" s="5">
        <v>235331</v>
      </c>
      <c r="K35" s="5">
        <v>14210</v>
      </c>
      <c r="L35" s="5">
        <v>235983</v>
      </c>
      <c r="M35" s="5">
        <v>14682</v>
      </c>
      <c r="N35" s="5">
        <v>237525</v>
      </c>
      <c r="O35" s="5">
        <v>14729</v>
      </c>
      <c r="P35" s="5">
        <v>237832</v>
      </c>
      <c r="Q35" s="5">
        <v>15694</v>
      </c>
      <c r="R35" s="5">
        <v>237570</v>
      </c>
      <c r="S35" s="5">
        <v>16678</v>
      </c>
      <c r="T35" s="5">
        <v>239826</v>
      </c>
      <c r="U35" s="5">
        <v>16808</v>
      </c>
      <c r="V35" s="5">
        <v>242133</v>
      </c>
      <c r="W35" s="5">
        <v>17876</v>
      </c>
      <c r="X35" s="5">
        <v>244357</v>
      </c>
      <c r="Y35" s="5">
        <v>17898</v>
      </c>
      <c r="Z35" s="5">
        <v>246414</v>
      </c>
      <c r="AA35" s="5">
        <v>20471</v>
      </c>
      <c r="AB35" s="5">
        <v>248175</v>
      </c>
    </row>
    <row r="36" spans="1:28">
      <c r="A36" s="3" t="s">
        <v>62</v>
      </c>
      <c r="B36" s="3" t="str">
        <f>VLOOKUP(A36,Примечания!$A:$B,2,0)</f>
        <v>ДФО</v>
      </c>
      <c r="C36" s="4">
        <f t="shared" ref="C36:D36" si="34">E36+G36+I36+K36+M36+O36+Q36+S36+U36+W36+Y36+AA36</f>
        <v>177903</v>
      </c>
      <c r="D36" s="4">
        <f t="shared" si="34"/>
        <v>4892858</v>
      </c>
      <c r="E36" s="5">
        <v>9733</v>
      </c>
      <c r="F36" s="5">
        <v>403742</v>
      </c>
      <c r="G36" s="5">
        <v>10085</v>
      </c>
      <c r="H36" s="5">
        <v>402408</v>
      </c>
      <c r="I36" s="5">
        <v>12123</v>
      </c>
      <c r="J36" s="5">
        <v>401854</v>
      </c>
      <c r="K36" s="5">
        <v>12510</v>
      </c>
      <c r="L36" s="5">
        <v>401976</v>
      </c>
      <c r="M36" s="5">
        <v>13298</v>
      </c>
      <c r="N36" s="5">
        <v>403212</v>
      </c>
      <c r="O36" s="5">
        <v>14994</v>
      </c>
      <c r="P36" s="5">
        <v>404136</v>
      </c>
      <c r="Q36" s="5">
        <v>18098</v>
      </c>
      <c r="R36" s="5">
        <v>404319</v>
      </c>
      <c r="S36" s="5">
        <v>19403</v>
      </c>
      <c r="T36" s="5">
        <v>410708</v>
      </c>
      <c r="U36" s="5">
        <v>15997</v>
      </c>
      <c r="V36" s="5">
        <v>412750</v>
      </c>
      <c r="W36" s="5">
        <v>16614</v>
      </c>
      <c r="X36" s="5">
        <v>415383</v>
      </c>
      <c r="Y36" s="5">
        <v>14822</v>
      </c>
      <c r="Z36" s="5">
        <v>415454</v>
      </c>
      <c r="AA36" s="5">
        <v>20226</v>
      </c>
      <c r="AB36" s="5">
        <v>416916</v>
      </c>
    </row>
    <row r="37" spans="1:28">
      <c r="A37" s="3" t="s">
        <v>63</v>
      </c>
      <c r="B37" s="3" t="str">
        <f>VLOOKUP(A37,Примечания!$A:$B,2,0)</f>
        <v>ПФО</v>
      </c>
      <c r="C37" s="4">
        <f t="shared" ref="C37:D37" si="35">E37+G37+I37+K37+M37+O37+Q37+S37+U37+W37+Y37+AA37</f>
        <v>173059</v>
      </c>
      <c r="D37" s="4">
        <f t="shared" si="35"/>
        <v>3031109</v>
      </c>
      <c r="E37" s="5">
        <v>10178</v>
      </c>
      <c r="F37" s="5">
        <v>249040</v>
      </c>
      <c r="G37" s="5">
        <v>11129</v>
      </c>
      <c r="H37" s="5">
        <v>248202</v>
      </c>
      <c r="I37" s="5">
        <v>12569</v>
      </c>
      <c r="J37" s="5">
        <v>247994</v>
      </c>
      <c r="K37" s="5">
        <v>12629</v>
      </c>
      <c r="L37" s="5">
        <v>248702</v>
      </c>
      <c r="M37" s="5">
        <v>12840</v>
      </c>
      <c r="N37" s="5">
        <v>249812</v>
      </c>
      <c r="O37" s="5">
        <v>12892</v>
      </c>
      <c r="P37" s="5">
        <v>249676</v>
      </c>
      <c r="Q37" s="5">
        <v>14004</v>
      </c>
      <c r="R37" s="5">
        <v>249347</v>
      </c>
      <c r="S37" s="5">
        <v>15543</v>
      </c>
      <c r="T37" s="5">
        <v>252023</v>
      </c>
      <c r="U37" s="5">
        <v>15185</v>
      </c>
      <c r="V37" s="5">
        <v>254122</v>
      </c>
      <c r="W37" s="5">
        <v>17125</v>
      </c>
      <c r="X37" s="5">
        <v>257646</v>
      </c>
      <c r="Y37" s="5">
        <v>17433</v>
      </c>
      <c r="Z37" s="5">
        <v>260792</v>
      </c>
      <c r="AA37" s="5">
        <v>21532</v>
      </c>
      <c r="AB37" s="5">
        <v>263753</v>
      </c>
    </row>
    <row r="38" spans="1:28">
      <c r="A38" s="3" t="s">
        <v>64</v>
      </c>
      <c r="B38" s="3" t="str">
        <f>VLOOKUP(A38,Примечания!$A:$B,2,0)</f>
        <v>СЗФО</v>
      </c>
      <c r="C38" s="4">
        <f t="shared" ref="C38:D38" si="36">E38+G38+I38+K38+M38+O38+Q38+S38+U38+W38+Y38+AA38</f>
        <v>171042</v>
      </c>
      <c r="D38" s="4">
        <f t="shared" si="36"/>
        <v>3205211</v>
      </c>
      <c r="E38" s="5">
        <v>9692</v>
      </c>
      <c r="F38" s="5">
        <v>265055</v>
      </c>
      <c r="G38" s="5">
        <v>10931</v>
      </c>
      <c r="H38" s="5">
        <v>264316</v>
      </c>
      <c r="I38" s="5">
        <v>12101</v>
      </c>
      <c r="J38" s="5">
        <v>263726</v>
      </c>
      <c r="K38" s="5">
        <v>13089</v>
      </c>
      <c r="L38" s="5">
        <v>264521</v>
      </c>
      <c r="M38" s="5">
        <v>13365</v>
      </c>
      <c r="N38" s="5">
        <v>265775</v>
      </c>
      <c r="O38" s="5">
        <v>14076</v>
      </c>
      <c r="P38" s="5">
        <v>266166</v>
      </c>
      <c r="Q38" s="5">
        <v>15095</v>
      </c>
      <c r="R38" s="5">
        <v>263999</v>
      </c>
      <c r="S38" s="5">
        <v>15812</v>
      </c>
      <c r="T38" s="5">
        <v>266739</v>
      </c>
      <c r="U38" s="5">
        <v>15360</v>
      </c>
      <c r="V38" s="5">
        <v>268581</v>
      </c>
      <c r="W38" s="5">
        <v>16609</v>
      </c>
      <c r="X38" s="5">
        <v>271052</v>
      </c>
      <c r="Y38" s="5">
        <v>15959</v>
      </c>
      <c r="Z38" s="5">
        <v>272402</v>
      </c>
      <c r="AA38" s="5">
        <v>18953</v>
      </c>
      <c r="AB38" s="5">
        <v>272879</v>
      </c>
    </row>
    <row r="39" spans="1:28">
      <c r="A39" s="3" t="s">
        <v>65</v>
      </c>
      <c r="B39" s="3" t="str">
        <f>VLOOKUP(A39,Примечания!$A:$B,2,0)</f>
        <v>ЦФО</v>
      </c>
      <c r="C39" s="4">
        <f t="shared" ref="C39:D39" si="37">E39+G39+I39+K39+M39+O39+Q39+S39+U39+W39+Y39+AA39</f>
        <v>165694</v>
      </c>
      <c r="D39" s="4">
        <f t="shared" si="37"/>
        <v>2740013</v>
      </c>
      <c r="E39" s="5">
        <v>10059</v>
      </c>
      <c r="F39" s="5">
        <v>227876</v>
      </c>
      <c r="G39" s="5">
        <v>10981</v>
      </c>
      <c r="H39" s="5">
        <v>226833</v>
      </c>
      <c r="I39" s="5">
        <v>12451</v>
      </c>
      <c r="J39" s="5">
        <v>226599</v>
      </c>
      <c r="K39" s="5">
        <v>12082</v>
      </c>
      <c r="L39" s="5">
        <v>226392</v>
      </c>
      <c r="M39" s="5">
        <v>12634</v>
      </c>
      <c r="N39" s="5">
        <v>226810</v>
      </c>
      <c r="O39" s="5">
        <v>12960</v>
      </c>
      <c r="P39" s="5">
        <v>226382</v>
      </c>
      <c r="Q39" s="5">
        <v>14655</v>
      </c>
      <c r="R39" s="5">
        <v>225758</v>
      </c>
      <c r="S39" s="5">
        <v>15430</v>
      </c>
      <c r="T39" s="5">
        <v>227980</v>
      </c>
      <c r="U39" s="5">
        <v>14921</v>
      </c>
      <c r="V39" s="5">
        <v>229311</v>
      </c>
      <c r="W39" s="5">
        <v>16246</v>
      </c>
      <c r="X39" s="5">
        <v>231141</v>
      </c>
      <c r="Y39" s="5">
        <v>15497</v>
      </c>
      <c r="Z39" s="5">
        <v>232150</v>
      </c>
      <c r="AA39" s="5">
        <v>17778</v>
      </c>
      <c r="AB39" s="5">
        <v>232781</v>
      </c>
    </row>
    <row r="40" spans="1:28">
      <c r="A40" s="3" t="s">
        <v>66</v>
      </c>
      <c r="B40" s="3" t="str">
        <f>VLOOKUP(A40,Примечания!$A:$B,2,0)</f>
        <v>СЗФО</v>
      </c>
      <c r="C40" s="4">
        <f t="shared" ref="C40:D40" si="38">E40+G40+I40+K40+M40+O40+Q40+S40+U40+W40+Y40+AA40</f>
        <v>164201</v>
      </c>
      <c r="D40" s="4">
        <f t="shared" si="38"/>
        <v>3059784</v>
      </c>
      <c r="E40" s="5">
        <v>9310</v>
      </c>
      <c r="F40" s="5">
        <v>252804</v>
      </c>
      <c r="G40" s="5">
        <v>10508</v>
      </c>
      <c r="H40" s="5">
        <v>252136</v>
      </c>
      <c r="I40" s="5">
        <v>11589</v>
      </c>
      <c r="J40" s="5">
        <v>251583</v>
      </c>
      <c r="K40" s="5">
        <v>12600</v>
      </c>
      <c r="L40" s="5">
        <v>252444</v>
      </c>
      <c r="M40" s="5">
        <v>12896</v>
      </c>
      <c r="N40" s="5">
        <v>253756</v>
      </c>
      <c r="O40" s="5">
        <v>13482</v>
      </c>
      <c r="P40" s="5">
        <v>254163</v>
      </c>
      <c r="Q40" s="5">
        <v>14439</v>
      </c>
      <c r="R40" s="5">
        <v>251988</v>
      </c>
      <c r="S40" s="5">
        <v>15132</v>
      </c>
      <c r="T40" s="5">
        <v>254637</v>
      </c>
      <c r="U40" s="5">
        <v>14706</v>
      </c>
      <c r="V40" s="5">
        <v>256415</v>
      </c>
      <c r="W40" s="5">
        <v>15966</v>
      </c>
      <c r="X40" s="5">
        <v>258856</v>
      </c>
      <c r="Y40" s="5">
        <v>15357</v>
      </c>
      <c r="Z40" s="5">
        <v>260236</v>
      </c>
      <c r="AA40" s="5">
        <v>18216</v>
      </c>
      <c r="AB40" s="5">
        <v>260766</v>
      </c>
    </row>
    <row r="41" spans="1:28">
      <c r="A41" s="3" t="s">
        <v>67</v>
      </c>
      <c r="B41" s="3" t="str">
        <f>VLOOKUP(A41,Примечания!$A:$B,2,0)</f>
        <v>ЦФО</v>
      </c>
      <c r="C41" s="4">
        <f t="shared" ref="C41:D41" si="39">E41+G41+I41+K41+M41+O41+Q41+S41+U41+W41+Y41+AA41</f>
        <v>164183</v>
      </c>
      <c r="D41" s="4">
        <f t="shared" si="39"/>
        <v>2674576</v>
      </c>
      <c r="E41" s="5">
        <v>10113</v>
      </c>
      <c r="F41" s="5">
        <v>220382</v>
      </c>
      <c r="G41" s="5">
        <v>11090</v>
      </c>
      <c r="H41" s="5">
        <v>219743</v>
      </c>
      <c r="I41" s="5">
        <v>12539</v>
      </c>
      <c r="J41" s="5">
        <v>219848</v>
      </c>
      <c r="K41" s="5">
        <v>12454</v>
      </c>
      <c r="L41" s="5">
        <v>221105</v>
      </c>
      <c r="M41" s="5">
        <v>12709</v>
      </c>
      <c r="N41" s="5">
        <v>221915</v>
      </c>
      <c r="O41" s="5">
        <v>13150</v>
      </c>
      <c r="P41" s="5">
        <v>221687</v>
      </c>
      <c r="Q41" s="5">
        <v>13856</v>
      </c>
      <c r="R41" s="5">
        <v>221063</v>
      </c>
      <c r="S41" s="5">
        <v>15150</v>
      </c>
      <c r="T41" s="5">
        <v>223286</v>
      </c>
      <c r="U41" s="5">
        <v>14560</v>
      </c>
      <c r="V41" s="5">
        <v>224646</v>
      </c>
      <c r="W41" s="5">
        <v>15493</v>
      </c>
      <c r="X41" s="5">
        <v>226218</v>
      </c>
      <c r="Y41" s="5">
        <v>15239</v>
      </c>
      <c r="Z41" s="5">
        <v>227114</v>
      </c>
      <c r="AA41" s="5">
        <v>17830</v>
      </c>
      <c r="AB41" s="5">
        <v>227569</v>
      </c>
    </row>
    <row r="42" spans="1:28">
      <c r="A42" s="3" t="s">
        <v>68</v>
      </c>
      <c r="B42" s="3" t="str">
        <f>VLOOKUP(A42,Примечания!$A:$B,2,0)</f>
        <v>ЦФО</v>
      </c>
      <c r="C42" s="4">
        <f t="shared" ref="C42:D42" si="40">E42+G42+I42+K42+M42+O42+Q42+S42+U42+W42+Y42+AA42</f>
        <v>162179</v>
      </c>
      <c r="D42" s="4">
        <f t="shared" si="40"/>
        <v>2936335</v>
      </c>
      <c r="E42" s="5">
        <v>9839</v>
      </c>
      <c r="F42" s="5">
        <v>243556</v>
      </c>
      <c r="G42" s="5">
        <v>10377</v>
      </c>
      <c r="H42" s="5">
        <v>242477</v>
      </c>
      <c r="I42" s="5">
        <v>12097</v>
      </c>
      <c r="J42" s="5">
        <v>242413</v>
      </c>
      <c r="K42" s="5">
        <v>12392</v>
      </c>
      <c r="L42" s="5">
        <v>242528</v>
      </c>
      <c r="M42" s="5">
        <v>12719</v>
      </c>
      <c r="N42" s="5">
        <v>243622</v>
      </c>
      <c r="O42" s="5">
        <v>13017</v>
      </c>
      <c r="P42" s="5">
        <v>243539</v>
      </c>
      <c r="Q42" s="5">
        <v>14067</v>
      </c>
      <c r="R42" s="5">
        <v>242195</v>
      </c>
      <c r="S42" s="5">
        <v>15046</v>
      </c>
      <c r="T42" s="5">
        <v>244456</v>
      </c>
      <c r="U42" s="5">
        <v>14591</v>
      </c>
      <c r="V42" s="5">
        <v>246039</v>
      </c>
      <c r="W42" s="5">
        <v>15597</v>
      </c>
      <c r="X42" s="5">
        <v>247924</v>
      </c>
      <c r="Y42" s="5">
        <v>15046</v>
      </c>
      <c r="Z42" s="5">
        <v>248768</v>
      </c>
      <c r="AA42" s="5">
        <v>17391</v>
      </c>
      <c r="AB42" s="5">
        <v>248818</v>
      </c>
    </row>
    <row r="43" spans="1:28">
      <c r="A43" s="3" t="s">
        <v>69</v>
      </c>
      <c r="B43" s="3" t="str">
        <f>VLOOKUP(A43,Примечания!$A:$B,2,0)</f>
        <v>ПФО</v>
      </c>
      <c r="C43" s="4">
        <f t="shared" ref="C43:D43" si="41">E43+G43+I43+K43+M43+O43+Q43+S43+U43+W43+Y43+AA43</f>
        <v>158642</v>
      </c>
      <c r="D43" s="4">
        <f t="shared" si="41"/>
        <v>2753740</v>
      </c>
      <c r="E43" s="5">
        <v>9245</v>
      </c>
      <c r="F43" s="5">
        <v>227593</v>
      </c>
      <c r="G43" s="5">
        <v>10277</v>
      </c>
      <c r="H43" s="5">
        <v>226787</v>
      </c>
      <c r="I43" s="5">
        <v>11560</v>
      </c>
      <c r="J43" s="5">
        <v>226282</v>
      </c>
      <c r="K43" s="5">
        <v>11773</v>
      </c>
      <c r="L43" s="5">
        <v>226585</v>
      </c>
      <c r="M43" s="5">
        <v>11972</v>
      </c>
      <c r="N43" s="5">
        <v>227370</v>
      </c>
      <c r="O43" s="5">
        <v>12470</v>
      </c>
      <c r="P43" s="5">
        <v>227393</v>
      </c>
      <c r="Q43" s="5">
        <v>13642</v>
      </c>
      <c r="R43" s="5">
        <v>227203</v>
      </c>
      <c r="S43" s="5">
        <v>14585</v>
      </c>
      <c r="T43" s="5">
        <v>229432</v>
      </c>
      <c r="U43" s="5">
        <v>14088</v>
      </c>
      <c r="V43" s="5">
        <v>230834</v>
      </c>
      <c r="W43" s="5">
        <v>15463</v>
      </c>
      <c r="X43" s="5">
        <v>232854</v>
      </c>
      <c r="Y43" s="5">
        <v>15311</v>
      </c>
      <c r="Z43" s="5">
        <v>234681</v>
      </c>
      <c r="AA43" s="5">
        <v>18256</v>
      </c>
      <c r="AB43" s="5">
        <v>236726</v>
      </c>
    </row>
    <row r="44" spans="1:28">
      <c r="A44" s="3" t="s">
        <v>70</v>
      </c>
      <c r="B44" s="3" t="str">
        <f>VLOOKUP(A44,Примечания!$A:$B,2,0)</f>
        <v>СЗФО</v>
      </c>
      <c r="C44" s="4">
        <f t="shared" ref="C44:D44" si="42">E44+G44+I44+K44+M44+O44+Q44+S44+U44+W44+Y44+AA44</f>
        <v>156456</v>
      </c>
      <c r="D44" s="4">
        <f t="shared" si="42"/>
        <v>2728585</v>
      </c>
      <c r="E44" s="5">
        <v>9281</v>
      </c>
      <c r="F44" s="5">
        <v>226436</v>
      </c>
      <c r="G44" s="5">
        <v>10035</v>
      </c>
      <c r="H44" s="5">
        <v>225172</v>
      </c>
      <c r="I44" s="5">
        <v>11293</v>
      </c>
      <c r="J44" s="5">
        <v>224608</v>
      </c>
      <c r="K44" s="5">
        <v>11505</v>
      </c>
      <c r="L44" s="5">
        <v>224825</v>
      </c>
      <c r="M44" s="5">
        <v>12081</v>
      </c>
      <c r="N44" s="5">
        <v>225743</v>
      </c>
      <c r="O44" s="5">
        <v>12466</v>
      </c>
      <c r="P44" s="5">
        <v>225815</v>
      </c>
      <c r="Q44" s="5">
        <v>13481</v>
      </c>
      <c r="R44" s="5">
        <v>224545</v>
      </c>
      <c r="S44" s="5">
        <v>14332</v>
      </c>
      <c r="T44" s="5">
        <v>226774</v>
      </c>
      <c r="U44" s="5">
        <v>14112</v>
      </c>
      <c r="V44" s="5">
        <v>228250</v>
      </c>
      <c r="W44" s="5">
        <v>15429</v>
      </c>
      <c r="X44" s="5">
        <v>230581</v>
      </c>
      <c r="Y44" s="5">
        <v>15394</v>
      </c>
      <c r="Z44" s="5">
        <v>232452</v>
      </c>
      <c r="AA44" s="5">
        <v>17047</v>
      </c>
      <c r="AB44" s="5">
        <v>233384</v>
      </c>
    </row>
    <row r="45" spans="1:28">
      <c r="A45" s="3" t="s">
        <v>71</v>
      </c>
      <c r="B45" s="3" t="str">
        <f>VLOOKUP(A45,Примечания!$A:$B,2,0)</f>
        <v>СФО</v>
      </c>
      <c r="C45" s="4">
        <f t="shared" ref="C45:D45" si="43">E45+G45+I45+K45+M45+O45+Q45+S45+U45+W45+Y45+AA45</f>
        <v>154469</v>
      </c>
      <c r="D45" s="4">
        <f t="shared" si="43"/>
        <v>2692484</v>
      </c>
      <c r="E45" s="5">
        <v>9345</v>
      </c>
      <c r="F45" s="5">
        <v>223754</v>
      </c>
      <c r="G45" s="5">
        <v>10058</v>
      </c>
      <c r="H45" s="5">
        <v>222620</v>
      </c>
      <c r="I45" s="5">
        <v>11518</v>
      </c>
      <c r="J45" s="5">
        <v>222247</v>
      </c>
      <c r="K45" s="5">
        <v>11424</v>
      </c>
      <c r="L45" s="5">
        <v>222088</v>
      </c>
      <c r="M45" s="5">
        <v>12142</v>
      </c>
      <c r="N45" s="5">
        <v>222868</v>
      </c>
      <c r="O45" s="5">
        <v>12448</v>
      </c>
      <c r="P45" s="5">
        <v>222749</v>
      </c>
      <c r="Q45" s="5">
        <v>13731</v>
      </c>
      <c r="R45" s="5">
        <v>222876</v>
      </c>
      <c r="S45" s="5">
        <v>14198</v>
      </c>
      <c r="T45" s="5">
        <v>225010</v>
      </c>
      <c r="U45" s="5">
        <v>13749</v>
      </c>
      <c r="V45" s="5">
        <v>225845</v>
      </c>
      <c r="W45" s="5">
        <v>14736</v>
      </c>
      <c r="X45" s="5">
        <v>227049</v>
      </c>
      <c r="Y45" s="5">
        <v>14119</v>
      </c>
      <c r="Z45" s="5">
        <v>227685</v>
      </c>
      <c r="AA45" s="5">
        <v>17001</v>
      </c>
      <c r="AB45" s="5">
        <v>227693</v>
      </c>
    </row>
    <row r="46" spans="1:28">
      <c r="A46" s="3" t="s">
        <v>72</v>
      </c>
      <c r="B46" s="3" t="str">
        <f>VLOOKUP(A46,Примечания!$A:$B,2,0)</f>
        <v>СФО</v>
      </c>
      <c r="C46" s="4">
        <f t="shared" ref="C46:D46" si="44">E46+G46+I46+K46+M46+O46+Q46+S46+U46+W46+Y46+AA46</f>
        <v>153373</v>
      </c>
      <c r="D46" s="4">
        <f t="shared" si="44"/>
        <v>2820029</v>
      </c>
      <c r="E46" s="5">
        <v>8657</v>
      </c>
      <c r="F46" s="5">
        <v>224707</v>
      </c>
      <c r="G46" s="5">
        <v>9882</v>
      </c>
      <c r="H46" s="5">
        <v>225373</v>
      </c>
      <c r="I46" s="5">
        <v>11162</v>
      </c>
      <c r="J46" s="5">
        <v>227022</v>
      </c>
      <c r="K46" s="5">
        <v>11273</v>
      </c>
      <c r="L46" s="5">
        <v>228484</v>
      </c>
      <c r="M46" s="5">
        <v>11721</v>
      </c>
      <c r="N46" s="5">
        <v>230886</v>
      </c>
      <c r="O46" s="5">
        <v>12383</v>
      </c>
      <c r="P46" s="5">
        <v>232671</v>
      </c>
      <c r="Q46" s="5">
        <v>13883</v>
      </c>
      <c r="R46" s="5">
        <v>233928</v>
      </c>
      <c r="S46" s="5">
        <v>14580</v>
      </c>
      <c r="T46" s="5">
        <v>237928</v>
      </c>
      <c r="U46" s="5">
        <v>13312</v>
      </c>
      <c r="V46" s="5">
        <v>240300</v>
      </c>
      <c r="W46" s="5">
        <v>14627</v>
      </c>
      <c r="X46" s="5">
        <v>243690</v>
      </c>
      <c r="Y46" s="5">
        <v>13964</v>
      </c>
      <c r="Z46" s="5">
        <v>245859</v>
      </c>
      <c r="AA46" s="5">
        <v>17929</v>
      </c>
      <c r="AB46" s="5">
        <v>249181</v>
      </c>
    </row>
    <row r="47" spans="1:28">
      <c r="A47" s="3" t="s">
        <v>73</v>
      </c>
      <c r="B47" s="3" t="str">
        <f>VLOOKUP(A47,Примечания!$A:$B,2,0)</f>
        <v>ЦФО</v>
      </c>
      <c r="C47" s="4">
        <f t="shared" ref="C47:D47" si="45">E47+G47+I47+K47+M47+O47+Q47+S47+U47+W47+Y47+AA47</f>
        <v>151712</v>
      </c>
      <c r="D47" s="4">
        <f t="shared" si="45"/>
        <v>2871572</v>
      </c>
      <c r="E47" s="5">
        <v>9166</v>
      </c>
      <c r="F47" s="5">
        <v>238442</v>
      </c>
      <c r="G47" s="5">
        <v>9966</v>
      </c>
      <c r="H47" s="5">
        <v>237424</v>
      </c>
      <c r="I47" s="5">
        <v>11446</v>
      </c>
      <c r="J47" s="5">
        <v>237291</v>
      </c>
      <c r="K47" s="5">
        <v>11604</v>
      </c>
      <c r="L47" s="5">
        <v>237621</v>
      </c>
      <c r="M47" s="5">
        <v>11740</v>
      </c>
      <c r="N47" s="5">
        <v>238421</v>
      </c>
      <c r="O47" s="5">
        <v>11893</v>
      </c>
      <c r="P47" s="5">
        <v>238108</v>
      </c>
      <c r="Q47" s="5">
        <v>13323</v>
      </c>
      <c r="R47" s="5">
        <v>236863</v>
      </c>
      <c r="S47" s="5">
        <v>13911</v>
      </c>
      <c r="T47" s="5">
        <v>238986</v>
      </c>
      <c r="U47" s="5">
        <v>13566</v>
      </c>
      <c r="V47" s="5">
        <v>240182</v>
      </c>
      <c r="W47" s="5">
        <v>14803</v>
      </c>
      <c r="X47" s="5">
        <v>242074</v>
      </c>
      <c r="Y47" s="5">
        <v>14206</v>
      </c>
      <c r="Z47" s="5">
        <v>243066</v>
      </c>
      <c r="AA47" s="5">
        <v>16088</v>
      </c>
      <c r="AB47" s="5">
        <v>243094</v>
      </c>
    </row>
    <row r="48" spans="1:28">
      <c r="A48" s="3" t="s">
        <v>74</v>
      </c>
      <c r="B48" s="3" t="str">
        <f>VLOOKUP(A48,Примечания!$A:$B,2,0)</f>
        <v>ПФО</v>
      </c>
      <c r="C48" s="4">
        <f t="shared" ref="C48:D48" si="46">E48+G48+I48+K48+M48+O48+Q48+S48+U48+W48+Y48+AA48</f>
        <v>149802</v>
      </c>
      <c r="D48" s="4">
        <f t="shared" si="46"/>
        <v>2821705</v>
      </c>
      <c r="E48" s="5">
        <v>8833</v>
      </c>
      <c r="F48" s="5">
        <v>234964</v>
      </c>
      <c r="G48" s="5">
        <v>9795</v>
      </c>
      <c r="H48" s="5">
        <v>234063</v>
      </c>
      <c r="I48" s="5">
        <v>11104</v>
      </c>
      <c r="J48" s="5">
        <v>233881</v>
      </c>
      <c r="K48" s="5">
        <v>11171</v>
      </c>
      <c r="L48" s="5">
        <v>233965</v>
      </c>
      <c r="M48" s="5">
        <v>11482</v>
      </c>
      <c r="N48" s="5">
        <v>234565</v>
      </c>
      <c r="O48" s="5">
        <v>12000</v>
      </c>
      <c r="P48" s="5">
        <v>234071</v>
      </c>
      <c r="Q48" s="5">
        <v>12979</v>
      </c>
      <c r="R48" s="5">
        <v>232958</v>
      </c>
      <c r="S48" s="5">
        <v>13261</v>
      </c>
      <c r="T48" s="5">
        <v>234590</v>
      </c>
      <c r="U48" s="5">
        <v>13097</v>
      </c>
      <c r="V48" s="5">
        <v>234835</v>
      </c>
      <c r="W48" s="5">
        <v>14312</v>
      </c>
      <c r="X48" s="5">
        <v>236551</v>
      </c>
      <c r="Y48" s="5">
        <v>14463</v>
      </c>
      <c r="Z48" s="5">
        <v>238113</v>
      </c>
      <c r="AA48" s="5">
        <v>17305</v>
      </c>
      <c r="AB48" s="5">
        <v>239149</v>
      </c>
    </row>
    <row r="49" spans="1:28">
      <c r="A49" s="3" t="s">
        <v>75</v>
      </c>
      <c r="B49" s="3" t="str">
        <f>VLOOKUP(A49,Примечания!$A:$B,2,0)</f>
        <v>ПФО</v>
      </c>
      <c r="C49" s="4">
        <f t="shared" ref="C49:D49" si="47">E49+G49+I49+K49+M49+O49+Q49+S49+U49+W49+Y49+AA49</f>
        <v>146886</v>
      </c>
      <c r="D49" s="4">
        <f t="shared" si="47"/>
        <v>2620073</v>
      </c>
      <c r="E49" s="5">
        <v>9144</v>
      </c>
      <c r="F49" s="5">
        <v>218102</v>
      </c>
      <c r="G49" s="5">
        <v>9349</v>
      </c>
      <c r="H49" s="5">
        <v>216860</v>
      </c>
      <c r="I49" s="5">
        <v>10825</v>
      </c>
      <c r="J49" s="5">
        <v>216558</v>
      </c>
      <c r="K49" s="5">
        <v>10681</v>
      </c>
      <c r="L49" s="5">
        <v>216303</v>
      </c>
      <c r="M49" s="5">
        <v>10947</v>
      </c>
      <c r="N49" s="5">
        <v>216767</v>
      </c>
      <c r="O49" s="5">
        <v>11423</v>
      </c>
      <c r="P49" s="5">
        <v>216188</v>
      </c>
      <c r="Q49" s="5">
        <v>12966</v>
      </c>
      <c r="R49" s="5">
        <v>215728</v>
      </c>
      <c r="S49" s="5">
        <v>13444</v>
      </c>
      <c r="T49" s="5">
        <v>217926</v>
      </c>
      <c r="U49" s="5">
        <v>13035</v>
      </c>
      <c r="V49" s="5">
        <v>219131</v>
      </c>
      <c r="W49" s="5">
        <v>14467</v>
      </c>
      <c r="X49" s="5">
        <v>221125</v>
      </c>
      <c r="Y49" s="5">
        <v>13868</v>
      </c>
      <c r="Z49" s="5">
        <v>222336</v>
      </c>
      <c r="AA49" s="5">
        <v>16737</v>
      </c>
      <c r="AB49" s="5">
        <v>223049</v>
      </c>
    </row>
    <row r="50" spans="1:28">
      <c r="A50" s="3" t="s">
        <v>76</v>
      </c>
      <c r="B50" s="3" t="str">
        <f>VLOOKUP(A50,Примечания!$A:$B,2,0)</f>
        <v>ЦФО</v>
      </c>
      <c r="C50" s="4">
        <f t="shared" ref="C50:D50" si="48">E50+G50+I50+K50+M50+O50+Q50+S50+U50+W50+Y50+AA50</f>
        <v>145976</v>
      </c>
      <c r="D50" s="4">
        <f t="shared" si="48"/>
        <v>2713376</v>
      </c>
      <c r="E50" s="5">
        <v>8621</v>
      </c>
      <c r="F50" s="5">
        <v>223920</v>
      </c>
      <c r="G50" s="5">
        <v>9409</v>
      </c>
      <c r="H50" s="5">
        <v>223088</v>
      </c>
      <c r="I50" s="5">
        <v>10529</v>
      </c>
      <c r="J50" s="5">
        <v>222876</v>
      </c>
      <c r="K50" s="5">
        <v>10680</v>
      </c>
      <c r="L50" s="5">
        <v>222966</v>
      </c>
      <c r="M50" s="5">
        <v>11052</v>
      </c>
      <c r="N50" s="5">
        <v>223747</v>
      </c>
      <c r="O50" s="5">
        <v>11420</v>
      </c>
      <c r="P50" s="5">
        <v>224027</v>
      </c>
      <c r="Q50" s="5">
        <v>12601</v>
      </c>
      <c r="R50" s="5">
        <v>223511</v>
      </c>
      <c r="S50" s="5">
        <v>13545</v>
      </c>
      <c r="T50" s="5">
        <v>226132</v>
      </c>
      <c r="U50" s="5">
        <v>12869</v>
      </c>
      <c r="V50" s="5">
        <v>227595</v>
      </c>
      <c r="W50" s="5">
        <v>14242</v>
      </c>
      <c r="X50" s="5">
        <v>229866</v>
      </c>
      <c r="Y50" s="5">
        <v>14087</v>
      </c>
      <c r="Z50" s="5">
        <v>231926</v>
      </c>
      <c r="AA50" s="5">
        <v>16921</v>
      </c>
      <c r="AB50" s="5">
        <v>233722</v>
      </c>
    </row>
    <row r="51" spans="1:28">
      <c r="A51" s="3" t="s">
        <v>77</v>
      </c>
      <c r="B51" s="3" t="str">
        <f>VLOOKUP(A51,Примечания!$A:$B,2,0)</f>
        <v>СФО</v>
      </c>
      <c r="C51" s="4">
        <f t="shared" ref="C51:D51" si="49">E51+G51+I51+K51+M51+O51+Q51+S51+U51+W51+Y51+AA51</f>
        <v>141607</v>
      </c>
      <c r="D51" s="4">
        <f t="shared" si="49"/>
        <v>2847621</v>
      </c>
      <c r="E51" s="5">
        <v>8291</v>
      </c>
      <c r="F51" s="5">
        <v>233751</v>
      </c>
      <c r="G51" s="5">
        <v>8843</v>
      </c>
      <c r="H51" s="5">
        <v>233328</v>
      </c>
      <c r="I51" s="5">
        <v>10094</v>
      </c>
      <c r="J51" s="5">
        <v>233608</v>
      </c>
      <c r="K51" s="5">
        <v>10635</v>
      </c>
      <c r="L51" s="5">
        <v>234301</v>
      </c>
      <c r="M51" s="5">
        <v>10800</v>
      </c>
      <c r="N51" s="5">
        <v>235616</v>
      </c>
      <c r="O51" s="5">
        <v>11296</v>
      </c>
      <c r="P51" s="5">
        <v>235566</v>
      </c>
      <c r="Q51" s="5">
        <v>12698</v>
      </c>
      <c r="R51" s="5">
        <v>234859</v>
      </c>
      <c r="S51" s="5">
        <v>13616</v>
      </c>
      <c r="T51" s="5">
        <v>238133</v>
      </c>
      <c r="U51" s="5">
        <v>12326</v>
      </c>
      <c r="V51" s="5">
        <v>239438</v>
      </c>
      <c r="W51" s="5">
        <v>13936</v>
      </c>
      <c r="X51" s="5">
        <v>242277</v>
      </c>
      <c r="Y51" s="5">
        <v>12851</v>
      </c>
      <c r="Z51" s="5">
        <v>242960</v>
      </c>
      <c r="AA51" s="5">
        <v>16221</v>
      </c>
      <c r="AB51" s="5">
        <v>243784</v>
      </c>
    </row>
    <row r="52" spans="1:28">
      <c r="A52" s="3" t="s">
        <v>78</v>
      </c>
      <c r="B52" s="3" t="str">
        <f>VLOOKUP(A52,Примечания!$A:$B,2,0)</f>
        <v>ЦФО</v>
      </c>
      <c r="C52" s="4">
        <f t="shared" ref="C52:D52" si="50">E52+G52+I52+K52+M52+O52+Q52+S52+U52+W52+Y52+AA52</f>
        <v>138884</v>
      </c>
      <c r="D52" s="4">
        <f t="shared" si="50"/>
        <v>2251686</v>
      </c>
      <c r="E52" s="5">
        <v>8608</v>
      </c>
      <c r="F52" s="5">
        <v>186562</v>
      </c>
      <c r="G52" s="5">
        <v>9079</v>
      </c>
      <c r="H52" s="5">
        <v>185922</v>
      </c>
      <c r="I52" s="5">
        <v>10319</v>
      </c>
      <c r="J52" s="5">
        <v>185783</v>
      </c>
      <c r="K52" s="5">
        <v>10527</v>
      </c>
      <c r="L52" s="5">
        <v>185939</v>
      </c>
      <c r="M52" s="5">
        <v>10565</v>
      </c>
      <c r="N52" s="5">
        <v>186560</v>
      </c>
      <c r="O52" s="5">
        <v>10899</v>
      </c>
      <c r="P52" s="5">
        <v>186408</v>
      </c>
      <c r="Q52" s="5">
        <v>11827</v>
      </c>
      <c r="R52" s="5">
        <v>185484</v>
      </c>
      <c r="S52" s="5">
        <v>12663</v>
      </c>
      <c r="T52" s="5">
        <v>187059</v>
      </c>
      <c r="U52" s="5">
        <v>12487</v>
      </c>
      <c r="V52" s="5">
        <v>188398</v>
      </c>
      <c r="W52" s="5">
        <v>13852</v>
      </c>
      <c r="X52" s="5">
        <v>190511</v>
      </c>
      <c r="Y52" s="5">
        <v>12993</v>
      </c>
      <c r="Z52" s="5">
        <v>191499</v>
      </c>
      <c r="AA52" s="5">
        <v>15065</v>
      </c>
      <c r="AB52" s="5">
        <v>191561</v>
      </c>
    </row>
    <row r="53" spans="1:28">
      <c r="A53" s="3" t="s">
        <v>79</v>
      </c>
      <c r="B53" s="3" t="str">
        <f>VLOOKUP(A53,Примечания!$A:$B,2,0)</f>
        <v>СЗФО</v>
      </c>
      <c r="C53" s="4">
        <f t="shared" ref="C53:D53" si="51">E53+G53+I53+K53+M53+O53+Q53+S53+U53+W53+Y53+AA53</f>
        <v>132800</v>
      </c>
      <c r="D53" s="4">
        <f t="shared" si="51"/>
        <v>2250925</v>
      </c>
      <c r="E53" s="5">
        <v>7896</v>
      </c>
      <c r="F53" s="5">
        <v>189766</v>
      </c>
      <c r="G53" s="5">
        <v>8242</v>
      </c>
      <c r="H53" s="5">
        <v>187952</v>
      </c>
      <c r="I53" s="5">
        <v>9600</v>
      </c>
      <c r="J53" s="5">
        <v>187041</v>
      </c>
      <c r="K53" s="5">
        <v>9904</v>
      </c>
      <c r="L53" s="5">
        <v>186573</v>
      </c>
      <c r="M53" s="5">
        <v>10467</v>
      </c>
      <c r="N53" s="5">
        <v>186707</v>
      </c>
      <c r="O53" s="5">
        <v>10740</v>
      </c>
      <c r="P53" s="5">
        <v>185990</v>
      </c>
      <c r="Q53" s="5">
        <v>12179</v>
      </c>
      <c r="R53" s="5">
        <v>185265</v>
      </c>
      <c r="S53" s="5">
        <v>12906</v>
      </c>
      <c r="T53" s="5">
        <v>187449</v>
      </c>
      <c r="U53" s="5">
        <v>12063</v>
      </c>
      <c r="V53" s="5">
        <v>188115</v>
      </c>
      <c r="W53" s="5">
        <v>12755</v>
      </c>
      <c r="X53" s="5">
        <v>189078</v>
      </c>
      <c r="Y53" s="5">
        <v>12105</v>
      </c>
      <c r="Z53" s="5">
        <v>189085</v>
      </c>
      <c r="AA53" s="5">
        <v>13943</v>
      </c>
      <c r="AB53" s="5">
        <v>187904</v>
      </c>
    </row>
    <row r="54" spans="1:28">
      <c r="A54" s="3" t="s">
        <v>80</v>
      </c>
      <c r="B54" s="3" t="str">
        <f>VLOOKUP(A54,Примечания!$A:$B,2,0)</f>
        <v>УФО</v>
      </c>
      <c r="C54" s="4">
        <f t="shared" ref="C54:D54" si="52">E54+G54+I54+K54+M54+O54+Q54+S54+U54+W54+Y54+AA54</f>
        <v>132358</v>
      </c>
      <c r="D54" s="4">
        <f t="shared" si="52"/>
        <v>3021897</v>
      </c>
      <c r="E54" s="5">
        <v>7783</v>
      </c>
      <c r="F54" s="5">
        <v>254028</v>
      </c>
      <c r="G54" s="5">
        <v>8318</v>
      </c>
      <c r="H54" s="5">
        <v>252531</v>
      </c>
      <c r="I54" s="5">
        <v>9103</v>
      </c>
      <c r="J54" s="5">
        <v>250771</v>
      </c>
      <c r="K54" s="5">
        <v>9425</v>
      </c>
      <c r="L54" s="5">
        <v>250133</v>
      </c>
      <c r="M54" s="5">
        <v>10001</v>
      </c>
      <c r="N54" s="5">
        <v>250041</v>
      </c>
      <c r="O54" s="5">
        <v>11065</v>
      </c>
      <c r="P54" s="5">
        <v>249662</v>
      </c>
      <c r="Q54" s="5">
        <v>12380</v>
      </c>
      <c r="R54" s="5">
        <v>249013</v>
      </c>
      <c r="S54" s="5">
        <v>13241</v>
      </c>
      <c r="T54" s="5">
        <v>251531</v>
      </c>
      <c r="U54" s="5">
        <v>11750</v>
      </c>
      <c r="V54" s="5">
        <v>252502</v>
      </c>
      <c r="W54" s="5">
        <v>12998</v>
      </c>
      <c r="X54" s="5">
        <v>254154</v>
      </c>
      <c r="Y54" s="5">
        <v>11999</v>
      </c>
      <c r="Z54" s="5">
        <v>254795</v>
      </c>
      <c r="AA54" s="5">
        <v>14295</v>
      </c>
      <c r="AB54" s="5">
        <v>252736</v>
      </c>
    </row>
    <row r="55" spans="1:28">
      <c r="A55" s="3" t="s">
        <v>81</v>
      </c>
      <c r="B55" s="3" t="str">
        <f>VLOOKUP(A55,Примечания!$A:$B,2,0)</f>
        <v>ЦФО</v>
      </c>
      <c r="C55" s="4">
        <f t="shared" ref="C55:D55" si="53">E55+G55+I55+K55+M55+O55+Q55+S55+U55+W55+Y55+AA55</f>
        <v>131571</v>
      </c>
      <c r="D55" s="4">
        <f t="shared" si="53"/>
        <v>2204219</v>
      </c>
      <c r="E55" s="5">
        <v>7899</v>
      </c>
      <c r="F55" s="5">
        <v>182755</v>
      </c>
      <c r="G55" s="5">
        <v>8493</v>
      </c>
      <c r="H55" s="5">
        <v>181927</v>
      </c>
      <c r="I55" s="5">
        <v>9480</v>
      </c>
      <c r="J55" s="5">
        <v>181531</v>
      </c>
      <c r="K55" s="5">
        <v>9593</v>
      </c>
      <c r="L55" s="5">
        <v>181528</v>
      </c>
      <c r="M55" s="5">
        <v>10050</v>
      </c>
      <c r="N55" s="5">
        <v>182113</v>
      </c>
      <c r="O55" s="5">
        <v>10382</v>
      </c>
      <c r="P55" s="5">
        <v>182397</v>
      </c>
      <c r="Q55" s="5">
        <v>11331</v>
      </c>
      <c r="R55" s="5">
        <v>182094</v>
      </c>
      <c r="S55" s="5">
        <v>12103</v>
      </c>
      <c r="T55" s="5">
        <v>183884</v>
      </c>
      <c r="U55" s="5">
        <v>11584</v>
      </c>
      <c r="V55" s="5">
        <v>184895</v>
      </c>
      <c r="W55" s="5">
        <v>12948</v>
      </c>
      <c r="X55" s="5">
        <v>186083</v>
      </c>
      <c r="Y55" s="5">
        <v>12775</v>
      </c>
      <c r="Z55" s="5">
        <v>187546</v>
      </c>
      <c r="AA55" s="5">
        <v>14933</v>
      </c>
      <c r="AB55" s="5">
        <v>187466</v>
      </c>
    </row>
    <row r="56" spans="1:28">
      <c r="A56" s="3" t="s">
        <v>82</v>
      </c>
      <c r="B56" s="3" t="str">
        <f>VLOOKUP(A56,Примечания!$A:$B,2,0)</f>
        <v>ЦФО</v>
      </c>
      <c r="C56" s="4">
        <f t="shared" ref="C56:D56" si="54">E56+G56+I56+K56+M56+O56+Q56+S56+U56+W56+Y56+AA56</f>
        <v>131355</v>
      </c>
      <c r="D56" s="4">
        <f t="shared" si="54"/>
        <v>2277412</v>
      </c>
      <c r="E56" s="5">
        <v>7508</v>
      </c>
      <c r="F56" s="5">
        <v>188478</v>
      </c>
      <c r="G56" s="5">
        <v>7986</v>
      </c>
      <c r="H56" s="5">
        <v>187473</v>
      </c>
      <c r="I56" s="5">
        <v>9153</v>
      </c>
      <c r="J56" s="5">
        <v>186752</v>
      </c>
      <c r="K56" s="5">
        <v>9319</v>
      </c>
      <c r="L56" s="5">
        <v>186569</v>
      </c>
      <c r="M56" s="5">
        <v>10049</v>
      </c>
      <c r="N56" s="5">
        <v>187346</v>
      </c>
      <c r="O56" s="5">
        <v>10361</v>
      </c>
      <c r="P56" s="5">
        <v>187609</v>
      </c>
      <c r="Q56" s="5">
        <v>11379</v>
      </c>
      <c r="R56" s="5">
        <v>187649</v>
      </c>
      <c r="S56" s="5">
        <v>12111</v>
      </c>
      <c r="T56" s="5">
        <v>189849</v>
      </c>
      <c r="U56" s="5">
        <v>12024</v>
      </c>
      <c r="V56" s="5">
        <v>191406</v>
      </c>
      <c r="W56" s="5">
        <v>13449</v>
      </c>
      <c r="X56" s="5">
        <v>193484</v>
      </c>
      <c r="Y56" s="5">
        <v>13127</v>
      </c>
      <c r="Z56" s="5">
        <v>195483</v>
      </c>
      <c r="AA56" s="5">
        <v>14889</v>
      </c>
      <c r="AB56" s="5">
        <v>195314</v>
      </c>
    </row>
    <row r="57" spans="1:28">
      <c r="A57" s="3" t="s">
        <v>83</v>
      </c>
      <c r="B57" s="3" t="str">
        <f>VLOOKUP(A57,Примечания!$A:$B,2,0)</f>
        <v>ЮФО</v>
      </c>
      <c r="C57" s="4">
        <f t="shared" ref="C57:D57" si="55">E57+G57+I57+K57+M57+O57+Q57+S57+U57+W57+Y57+AA57</f>
        <v>127386</v>
      </c>
      <c r="D57" s="4">
        <f t="shared" si="55"/>
        <v>2533890</v>
      </c>
      <c r="E57" s="5">
        <v>7564</v>
      </c>
      <c r="F57" s="5">
        <v>206804</v>
      </c>
      <c r="G57" s="5">
        <v>7860</v>
      </c>
      <c r="H57" s="5">
        <v>206323</v>
      </c>
      <c r="I57" s="5">
        <v>9223</v>
      </c>
      <c r="J57" s="5">
        <v>206640</v>
      </c>
      <c r="K57" s="5">
        <v>9022</v>
      </c>
      <c r="L57" s="5">
        <v>207050</v>
      </c>
      <c r="M57" s="5">
        <v>10147</v>
      </c>
      <c r="N57" s="5">
        <v>208785</v>
      </c>
      <c r="O57" s="5">
        <v>10029</v>
      </c>
      <c r="P57" s="5">
        <v>209341</v>
      </c>
      <c r="Q57" s="5">
        <v>11077</v>
      </c>
      <c r="R57" s="5">
        <v>209017</v>
      </c>
      <c r="S57" s="5">
        <v>11861</v>
      </c>
      <c r="T57" s="5">
        <v>211677</v>
      </c>
      <c r="U57" s="5">
        <v>11166</v>
      </c>
      <c r="V57" s="5">
        <v>213334</v>
      </c>
      <c r="W57" s="5">
        <v>12633</v>
      </c>
      <c r="X57" s="5">
        <v>216198</v>
      </c>
      <c r="Y57" s="5">
        <v>11980</v>
      </c>
      <c r="Z57" s="5">
        <v>218096</v>
      </c>
      <c r="AA57" s="5">
        <v>14824</v>
      </c>
      <c r="AB57" s="5">
        <v>220625</v>
      </c>
    </row>
    <row r="58" spans="1:28">
      <c r="A58" s="3" t="s">
        <v>84</v>
      </c>
      <c r="B58" s="3" t="str">
        <f>VLOOKUP(A58,Примечания!$A:$B,2,0)</f>
        <v>СКФО</v>
      </c>
      <c r="C58" s="4">
        <f t="shared" ref="C58:D58" si="56">E58+G58+I58+K58+M58+O58+Q58+S58+U58+W58+Y58+AA58</f>
        <v>120680</v>
      </c>
      <c r="D58" s="4">
        <f t="shared" si="56"/>
        <v>2372236</v>
      </c>
      <c r="E58" s="5">
        <v>8723</v>
      </c>
      <c r="F58" s="5">
        <v>198842</v>
      </c>
      <c r="G58" s="5">
        <v>8745</v>
      </c>
      <c r="H58" s="5">
        <v>198390</v>
      </c>
      <c r="I58" s="5">
        <v>9507</v>
      </c>
      <c r="J58" s="5">
        <v>198085</v>
      </c>
      <c r="K58" s="5">
        <v>9120</v>
      </c>
      <c r="L58" s="5">
        <v>197542</v>
      </c>
      <c r="M58" s="5">
        <v>9546</v>
      </c>
      <c r="N58" s="5">
        <v>197864</v>
      </c>
      <c r="O58" s="5">
        <v>9530</v>
      </c>
      <c r="P58" s="5">
        <v>197559</v>
      </c>
      <c r="Q58" s="5">
        <v>10029</v>
      </c>
      <c r="R58" s="5">
        <v>196235</v>
      </c>
      <c r="S58" s="5">
        <v>10629</v>
      </c>
      <c r="T58" s="5">
        <v>196974</v>
      </c>
      <c r="U58" s="5">
        <v>10135</v>
      </c>
      <c r="V58" s="5">
        <v>197250</v>
      </c>
      <c r="W58" s="5">
        <v>11254</v>
      </c>
      <c r="X58" s="5">
        <v>197840</v>
      </c>
      <c r="Y58" s="5">
        <v>10634</v>
      </c>
      <c r="Z58" s="5">
        <v>198089</v>
      </c>
      <c r="AA58" s="5">
        <v>12828</v>
      </c>
      <c r="AB58" s="5">
        <v>197566</v>
      </c>
    </row>
    <row r="59" spans="1:28">
      <c r="A59" s="3" t="s">
        <v>85</v>
      </c>
      <c r="B59" s="3" t="str">
        <f>VLOOKUP(A59,Примечания!$A:$B,2,0)</f>
        <v>СЗФО</v>
      </c>
      <c r="C59" s="4">
        <f t="shared" ref="C59:D59" si="57">E59+G59+I59+K59+M59+O59+Q59+S59+U59+W59+Y59+AA59</f>
        <v>117631</v>
      </c>
      <c r="D59" s="4">
        <f t="shared" si="57"/>
        <v>2159989</v>
      </c>
      <c r="E59" s="5">
        <v>6943</v>
      </c>
      <c r="F59" s="5">
        <v>182113</v>
      </c>
      <c r="G59" s="5">
        <v>7360</v>
      </c>
      <c r="H59" s="5">
        <v>180653</v>
      </c>
      <c r="I59" s="5">
        <v>8659</v>
      </c>
      <c r="J59" s="5">
        <v>179795</v>
      </c>
      <c r="K59" s="5">
        <v>8703</v>
      </c>
      <c r="L59" s="5">
        <v>179371</v>
      </c>
      <c r="M59" s="5">
        <v>9061</v>
      </c>
      <c r="N59" s="5">
        <v>179306</v>
      </c>
      <c r="O59" s="5">
        <v>9463</v>
      </c>
      <c r="P59" s="5">
        <v>178673</v>
      </c>
      <c r="Q59" s="5">
        <v>10649</v>
      </c>
      <c r="R59" s="5">
        <v>177993</v>
      </c>
      <c r="S59" s="5">
        <v>11407</v>
      </c>
      <c r="T59" s="5">
        <v>179458</v>
      </c>
      <c r="U59" s="5">
        <v>10514</v>
      </c>
      <c r="V59" s="5">
        <v>179926</v>
      </c>
      <c r="W59" s="5">
        <v>11203</v>
      </c>
      <c r="X59" s="5">
        <v>180765</v>
      </c>
      <c r="Y59" s="5">
        <v>10882</v>
      </c>
      <c r="Z59" s="5">
        <v>181064</v>
      </c>
      <c r="AA59" s="5">
        <v>12787</v>
      </c>
      <c r="AB59" s="5">
        <v>180872</v>
      </c>
    </row>
    <row r="60" spans="1:28">
      <c r="A60" s="3" t="s">
        <v>86</v>
      </c>
      <c r="B60" s="3" t="str">
        <f>VLOOKUP(A60,Примечания!$A:$B,2,0)</f>
        <v>ДФО</v>
      </c>
      <c r="C60" s="4">
        <f t="shared" ref="C60:D60" si="58">E60+G60+I60+K60+M60+O60+Q60+S60+U60+W60+Y60+AA60</f>
        <v>117080</v>
      </c>
      <c r="D60" s="4">
        <f t="shared" si="58"/>
        <v>2572197</v>
      </c>
      <c r="E60" s="5">
        <v>6783</v>
      </c>
      <c r="F60" s="5">
        <v>212392</v>
      </c>
      <c r="G60" s="5">
        <v>7422</v>
      </c>
      <c r="H60" s="5">
        <v>212195</v>
      </c>
      <c r="I60" s="5">
        <v>8301</v>
      </c>
      <c r="J60" s="5">
        <v>212357</v>
      </c>
      <c r="K60" s="5">
        <v>8766</v>
      </c>
      <c r="L60" s="5">
        <v>212981</v>
      </c>
      <c r="M60" s="5">
        <v>9227</v>
      </c>
      <c r="N60" s="5">
        <v>214233</v>
      </c>
      <c r="O60" s="5">
        <v>9687</v>
      </c>
      <c r="P60" s="5">
        <v>214942</v>
      </c>
      <c r="Q60" s="5">
        <v>10731</v>
      </c>
      <c r="R60" s="5">
        <v>211493</v>
      </c>
      <c r="S60" s="5">
        <v>11004</v>
      </c>
      <c r="T60" s="5">
        <v>213939</v>
      </c>
      <c r="U60" s="5">
        <v>10468</v>
      </c>
      <c r="V60" s="5">
        <v>215380</v>
      </c>
      <c r="W60" s="5">
        <v>11355</v>
      </c>
      <c r="X60" s="5">
        <v>217387</v>
      </c>
      <c r="Y60" s="5">
        <v>10507</v>
      </c>
      <c r="Z60" s="5">
        <v>217980</v>
      </c>
      <c r="AA60" s="5">
        <v>12829</v>
      </c>
      <c r="AB60" s="5">
        <v>216918</v>
      </c>
    </row>
    <row r="61" spans="1:28">
      <c r="A61" s="3" t="s">
        <v>87</v>
      </c>
      <c r="B61" s="3" t="str">
        <f>VLOOKUP(A61,Примечания!$A:$B,2,0)</f>
        <v>ЦФО</v>
      </c>
      <c r="C61" s="4">
        <f t="shared" ref="C61:D61" si="59">E61+G61+I61+K61+M61+O61+Q61+S61+U61+W61+Y61+AA61</f>
        <v>113071</v>
      </c>
      <c r="D61" s="4">
        <f t="shared" si="59"/>
        <v>1842282</v>
      </c>
      <c r="E61" s="5">
        <v>7076</v>
      </c>
      <c r="F61" s="5">
        <v>153553</v>
      </c>
      <c r="G61" s="5">
        <v>7690</v>
      </c>
      <c r="H61" s="5">
        <v>153062</v>
      </c>
      <c r="I61" s="5">
        <v>8538</v>
      </c>
      <c r="J61" s="5">
        <v>152983</v>
      </c>
      <c r="K61" s="5">
        <v>8131</v>
      </c>
      <c r="L61" s="5">
        <v>152371</v>
      </c>
      <c r="M61" s="5">
        <v>8893</v>
      </c>
      <c r="N61" s="5">
        <v>152896</v>
      </c>
      <c r="O61" s="5">
        <v>8912</v>
      </c>
      <c r="P61" s="5">
        <v>152594</v>
      </c>
      <c r="Q61" s="5">
        <v>9711</v>
      </c>
      <c r="R61" s="5">
        <v>151589</v>
      </c>
      <c r="S61" s="5">
        <v>10472</v>
      </c>
      <c r="T61" s="5">
        <v>153191</v>
      </c>
      <c r="U61" s="5">
        <v>9904</v>
      </c>
      <c r="V61" s="5">
        <v>153708</v>
      </c>
      <c r="W61" s="5">
        <v>10931</v>
      </c>
      <c r="X61" s="5">
        <v>155125</v>
      </c>
      <c r="Y61" s="5">
        <v>10577</v>
      </c>
      <c r="Z61" s="5">
        <v>155566</v>
      </c>
      <c r="AA61" s="5">
        <v>12236</v>
      </c>
      <c r="AB61" s="5">
        <v>155644</v>
      </c>
    </row>
    <row r="62" spans="1:28">
      <c r="A62" s="3" t="s">
        <v>88</v>
      </c>
      <c r="B62" s="3" t="str">
        <f>VLOOKUP(A62,Примечания!$A:$B,2,0)</f>
        <v>ЦФО</v>
      </c>
      <c r="C62" s="4">
        <f t="shared" ref="C62:D62" si="60">E62+G62+I62+K62+M62+O62+Q62+S62+U62+W62+Y62+AA62</f>
        <v>108135</v>
      </c>
      <c r="D62" s="4">
        <f t="shared" si="60"/>
        <v>1684131</v>
      </c>
      <c r="E62" s="5">
        <v>6554</v>
      </c>
      <c r="F62" s="5">
        <v>139977</v>
      </c>
      <c r="G62" s="5">
        <v>7199</v>
      </c>
      <c r="H62" s="5">
        <v>139312</v>
      </c>
      <c r="I62" s="5">
        <v>8368</v>
      </c>
      <c r="J62" s="5">
        <v>139366</v>
      </c>
      <c r="K62" s="5">
        <v>8049</v>
      </c>
      <c r="L62" s="5">
        <v>139284</v>
      </c>
      <c r="M62" s="5">
        <v>8364</v>
      </c>
      <c r="N62" s="5">
        <v>139455</v>
      </c>
      <c r="O62" s="5">
        <v>8867</v>
      </c>
      <c r="P62" s="5">
        <v>139633</v>
      </c>
      <c r="Q62" s="5">
        <v>9296</v>
      </c>
      <c r="R62" s="5">
        <v>138930</v>
      </c>
      <c r="S62" s="5">
        <v>9841</v>
      </c>
      <c r="T62" s="5">
        <v>140253</v>
      </c>
      <c r="U62" s="5">
        <v>9792</v>
      </c>
      <c r="V62" s="5">
        <v>140780</v>
      </c>
      <c r="W62" s="5">
        <v>10357</v>
      </c>
      <c r="X62" s="5">
        <v>141838</v>
      </c>
      <c r="Y62" s="5">
        <v>10017</v>
      </c>
      <c r="Z62" s="5">
        <v>142575</v>
      </c>
      <c r="AA62" s="5">
        <v>11431</v>
      </c>
      <c r="AB62" s="5">
        <v>142728</v>
      </c>
    </row>
    <row r="63" spans="1:28">
      <c r="A63" s="3" t="s">
        <v>89</v>
      </c>
      <c r="B63" s="3" t="str">
        <f>VLOOKUP(A63,Примечания!$A:$B,2,0)</f>
        <v>ЦФО</v>
      </c>
      <c r="C63" s="4">
        <f t="shared" ref="C63:D63" si="61">E63+G63+I63+K63+M63+O63+Q63+S63+U63+W63+Y63+AA63</f>
        <v>102235</v>
      </c>
      <c r="D63" s="4">
        <f t="shared" si="61"/>
        <v>1766591</v>
      </c>
      <c r="E63" s="5">
        <v>6161</v>
      </c>
      <c r="F63" s="5">
        <v>147262</v>
      </c>
      <c r="G63" s="5">
        <v>6513</v>
      </c>
      <c r="H63" s="5">
        <v>146364</v>
      </c>
      <c r="I63" s="5">
        <v>7695</v>
      </c>
      <c r="J63" s="5">
        <v>146207</v>
      </c>
      <c r="K63" s="5">
        <v>7466</v>
      </c>
      <c r="L63" s="5">
        <v>146016</v>
      </c>
      <c r="M63" s="5">
        <v>7764</v>
      </c>
      <c r="N63" s="5">
        <v>146488</v>
      </c>
      <c r="O63" s="5">
        <v>8038</v>
      </c>
      <c r="P63" s="5">
        <v>146334</v>
      </c>
      <c r="Q63" s="5">
        <v>9016</v>
      </c>
      <c r="R63" s="5">
        <v>145350</v>
      </c>
      <c r="S63" s="5">
        <v>9533</v>
      </c>
      <c r="T63" s="5">
        <v>147020</v>
      </c>
      <c r="U63" s="5">
        <v>9084</v>
      </c>
      <c r="V63" s="5">
        <v>147777</v>
      </c>
      <c r="W63" s="5">
        <v>9669</v>
      </c>
      <c r="X63" s="5">
        <v>148723</v>
      </c>
      <c r="Y63" s="5">
        <v>9621</v>
      </c>
      <c r="Z63" s="5">
        <v>149286</v>
      </c>
      <c r="AA63" s="5">
        <v>11675</v>
      </c>
      <c r="AB63" s="5">
        <v>149764</v>
      </c>
    </row>
    <row r="64" spans="1:28">
      <c r="A64" s="3" t="s">
        <v>90</v>
      </c>
      <c r="B64" s="3" t="str">
        <f>VLOOKUP(A64,Примечания!$A:$B,2,0)</f>
        <v>УФО</v>
      </c>
      <c r="C64" s="4">
        <f t="shared" ref="C64:D64" si="62">E64+G64+I64+K64+M64+O64+Q64+S64+U64+W64+Y64+AA64</f>
        <v>100688</v>
      </c>
      <c r="D64" s="4">
        <f t="shared" si="62"/>
        <v>1861155</v>
      </c>
      <c r="E64" s="5">
        <v>5836</v>
      </c>
      <c r="F64" s="5">
        <v>153498</v>
      </c>
      <c r="G64" s="5">
        <v>6431</v>
      </c>
      <c r="H64" s="5">
        <v>152959</v>
      </c>
      <c r="I64" s="5">
        <v>7338</v>
      </c>
      <c r="J64" s="5">
        <v>152778</v>
      </c>
      <c r="K64" s="5">
        <v>7467</v>
      </c>
      <c r="L64" s="5">
        <v>153010</v>
      </c>
      <c r="M64" s="5">
        <v>7511</v>
      </c>
      <c r="N64" s="5">
        <v>153642</v>
      </c>
      <c r="O64" s="5">
        <v>7909</v>
      </c>
      <c r="P64" s="5">
        <v>153612</v>
      </c>
      <c r="Q64" s="5">
        <v>8832</v>
      </c>
      <c r="R64" s="5">
        <v>153163</v>
      </c>
      <c r="S64" s="5">
        <v>9498</v>
      </c>
      <c r="T64" s="5">
        <v>155031</v>
      </c>
      <c r="U64" s="5">
        <v>9053</v>
      </c>
      <c r="V64" s="5">
        <v>156395</v>
      </c>
      <c r="W64" s="5">
        <v>9872</v>
      </c>
      <c r="X64" s="5">
        <v>157958</v>
      </c>
      <c r="Y64" s="5">
        <v>9666</v>
      </c>
      <c r="Z64" s="5">
        <v>159089</v>
      </c>
      <c r="AA64" s="5">
        <v>11275</v>
      </c>
      <c r="AB64" s="5">
        <v>160020</v>
      </c>
    </row>
    <row r="65" spans="1:28">
      <c r="A65" s="3" t="s">
        <v>91</v>
      </c>
      <c r="B65" s="3" t="str">
        <f>VLOOKUP(A65,Примечания!$A:$B,2,0)</f>
        <v>ДФО</v>
      </c>
      <c r="C65" s="4">
        <f t="shared" ref="C65:D65" si="63">E65+G65+I65+K65+M65+O65+Q65+S65+U65+W65+Y65+AA65</f>
        <v>95262</v>
      </c>
      <c r="D65" s="4">
        <f t="shared" si="63"/>
        <v>2027095</v>
      </c>
      <c r="E65" s="5">
        <v>5187</v>
      </c>
      <c r="F65" s="5">
        <v>166708</v>
      </c>
      <c r="G65" s="5">
        <v>5717</v>
      </c>
      <c r="H65" s="5">
        <v>165983</v>
      </c>
      <c r="I65" s="5">
        <v>6830</v>
      </c>
      <c r="J65" s="5">
        <v>166127</v>
      </c>
      <c r="K65" s="5">
        <v>7296</v>
      </c>
      <c r="L65" s="5">
        <v>166671</v>
      </c>
      <c r="M65" s="5">
        <v>7857</v>
      </c>
      <c r="N65" s="5">
        <v>167923</v>
      </c>
      <c r="O65" s="5">
        <v>8120</v>
      </c>
      <c r="P65" s="5">
        <v>168527</v>
      </c>
      <c r="Q65" s="5">
        <v>8730</v>
      </c>
      <c r="R65" s="5">
        <v>167926</v>
      </c>
      <c r="S65" s="5">
        <v>9232</v>
      </c>
      <c r="T65" s="5">
        <v>169733</v>
      </c>
      <c r="U65" s="5">
        <v>8624</v>
      </c>
      <c r="V65" s="5">
        <v>170726</v>
      </c>
      <c r="W65" s="5">
        <v>9146</v>
      </c>
      <c r="X65" s="5">
        <v>172299</v>
      </c>
      <c r="Y65" s="5">
        <v>8358</v>
      </c>
      <c r="Z65" s="5">
        <v>172542</v>
      </c>
      <c r="AA65" s="5">
        <v>10165</v>
      </c>
      <c r="AB65" s="5">
        <v>171930</v>
      </c>
    </row>
    <row r="66" spans="1:28">
      <c r="A66" s="3" t="s">
        <v>92</v>
      </c>
      <c r="B66" s="3" t="str">
        <f>VLOOKUP(A66,Примечания!$A:$B,2,0)</f>
        <v>ЦФО</v>
      </c>
      <c r="C66" s="4">
        <f t="shared" ref="C66:D66" si="64">E66+G66+I66+K66+M66+O66+Q66+S66+U66+W66+Y66+AA66</f>
        <v>87423</v>
      </c>
      <c r="D66" s="4">
        <f t="shared" si="64"/>
        <v>1529536</v>
      </c>
      <c r="E66" s="5">
        <v>5389</v>
      </c>
      <c r="F66" s="5">
        <v>127495</v>
      </c>
      <c r="G66" s="5">
        <v>5763</v>
      </c>
      <c r="H66" s="5">
        <v>126880</v>
      </c>
      <c r="I66" s="5">
        <v>6783</v>
      </c>
      <c r="J66" s="5">
        <v>126862</v>
      </c>
      <c r="K66" s="5">
        <v>6681</v>
      </c>
      <c r="L66" s="5">
        <v>126864</v>
      </c>
      <c r="M66" s="5">
        <v>6774</v>
      </c>
      <c r="N66" s="5">
        <v>127253</v>
      </c>
      <c r="O66" s="5">
        <v>6903</v>
      </c>
      <c r="P66" s="5">
        <v>126992</v>
      </c>
      <c r="Q66" s="5">
        <v>7577</v>
      </c>
      <c r="R66" s="5">
        <v>126283</v>
      </c>
      <c r="S66" s="5">
        <v>7561</v>
      </c>
      <c r="T66" s="5">
        <v>127079</v>
      </c>
      <c r="U66" s="5">
        <v>7729</v>
      </c>
      <c r="V66" s="5">
        <v>127702</v>
      </c>
      <c r="W66" s="5">
        <v>8228</v>
      </c>
      <c r="X66" s="5">
        <v>128265</v>
      </c>
      <c r="Y66" s="5">
        <v>8265</v>
      </c>
      <c r="Z66" s="5">
        <v>128923</v>
      </c>
      <c r="AA66" s="5">
        <v>9770</v>
      </c>
      <c r="AB66" s="5">
        <v>128938</v>
      </c>
    </row>
    <row r="67" spans="1:28">
      <c r="A67" s="3" t="s">
        <v>93</v>
      </c>
      <c r="B67" s="3" t="str">
        <f>VLOOKUP(A67,Примечания!$A:$B,2,0)</f>
        <v>СЗФО</v>
      </c>
      <c r="C67" s="4">
        <f t="shared" ref="C67:D67" si="65">E67+G67+I67+K67+M67+O67+Q67+S67+U67+W67+Y67+AA67</f>
        <v>87004</v>
      </c>
      <c r="D67" s="4">
        <f t="shared" si="65"/>
        <v>1544124</v>
      </c>
      <c r="E67" s="5">
        <v>5216</v>
      </c>
      <c r="F67" s="5">
        <v>129984</v>
      </c>
      <c r="G67" s="5">
        <v>5546</v>
      </c>
      <c r="H67" s="5">
        <v>129094</v>
      </c>
      <c r="I67" s="5">
        <v>6384</v>
      </c>
      <c r="J67" s="5">
        <v>128730</v>
      </c>
      <c r="K67" s="5">
        <v>6442</v>
      </c>
      <c r="L67" s="5">
        <v>128538</v>
      </c>
      <c r="M67" s="5">
        <v>6780</v>
      </c>
      <c r="N67" s="5">
        <v>128720</v>
      </c>
      <c r="O67" s="5">
        <v>6846</v>
      </c>
      <c r="P67" s="5">
        <v>127844</v>
      </c>
      <c r="Q67" s="5">
        <v>7570</v>
      </c>
      <c r="R67" s="5">
        <v>127147</v>
      </c>
      <c r="S67" s="5">
        <v>7980</v>
      </c>
      <c r="T67" s="5">
        <v>127842</v>
      </c>
      <c r="U67" s="5">
        <v>7961</v>
      </c>
      <c r="V67" s="5">
        <v>128277</v>
      </c>
      <c r="W67" s="5">
        <v>8504</v>
      </c>
      <c r="X67" s="5">
        <v>129134</v>
      </c>
      <c r="Y67" s="5">
        <v>8217</v>
      </c>
      <c r="Z67" s="5">
        <v>129425</v>
      </c>
      <c r="AA67" s="5">
        <v>9558</v>
      </c>
      <c r="AB67" s="5">
        <v>129389</v>
      </c>
    </row>
    <row r="68" spans="1:28">
      <c r="A68" s="3" t="s">
        <v>94</v>
      </c>
      <c r="B68" s="3" t="str">
        <f>VLOOKUP(A68,Примечания!$A:$B,2,0)</f>
        <v>ПФО</v>
      </c>
      <c r="C68" s="4">
        <f t="shared" ref="C68:D68" si="66">E68+G68+I68+K68+M68+O68+Q68+S68+U68+W68+Y68+AA68</f>
        <v>86411</v>
      </c>
      <c r="D68" s="4">
        <f t="shared" si="66"/>
        <v>1479310</v>
      </c>
      <c r="E68" s="5">
        <v>5064</v>
      </c>
      <c r="F68" s="5">
        <v>121710</v>
      </c>
      <c r="G68" s="5">
        <v>5628</v>
      </c>
      <c r="H68" s="5">
        <v>121304</v>
      </c>
      <c r="I68" s="5">
        <v>6531</v>
      </c>
      <c r="J68" s="5">
        <v>121303</v>
      </c>
      <c r="K68" s="5">
        <v>5984</v>
      </c>
      <c r="L68" s="5">
        <v>121256</v>
      </c>
      <c r="M68" s="5">
        <v>6397</v>
      </c>
      <c r="N68" s="5">
        <v>121822</v>
      </c>
      <c r="O68" s="5">
        <v>6699</v>
      </c>
      <c r="P68" s="5">
        <v>122097</v>
      </c>
      <c r="Q68" s="5">
        <v>7368</v>
      </c>
      <c r="R68" s="5">
        <v>121747</v>
      </c>
      <c r="S68" s="5">
        <v>7879</v>
      </c>
      <c r="T68" s="5">
        <v>123405</v>
      </c>
      <c r="U68" s="5">
        <v>7551</v>
      </c>
      <c r="V68" s="5">
        <v>124198</v>
      </c>
      <c r="W68" s="5">
        <v>8711</v>
      </c>
      <c r="X68" s="5">
        <v>125783</v>
      </c>
      <c r="Y68" s="5">
        <v>8475</v>
      </c>
      <c r="Z68" s="5">
        <v>126962</v>
      </c>
      <c r="AA68" s="5">
        <v>10124</v>
      </c>
      <c r="AB68" s="5">
        <v>127723</v>
      </c>
    </row>
    <row r="69" spans="1:28">
      <c r="A69" s="3" t="s">
        <v>95</v>
      </c>
      <c r="B69" s="3" t="str">
        <f>VLOOKUP(A69,Примечания!$A:$B,2,0)</f>
        <v>ПФО</v>
      </c>
      <c r="C69" s="4">
        <f t="shared" ref="C69:D69" si="67">E69+G69+I69+K69+M69+O69+Q69+S69+U69+W69+Y69+AA69</f>
        <v>83482</v>
      </c>
      <c r="D69" s="4">
        <f t="shared" si="67"/>
        <v>1360690</v>
      </c>
      <c r="E69" s="5">
        <v>4823</v>
      </c>
      <c r="F69" s="5">
        <v>111294</v>
      </c>
      <c r="G69" s="5">
        <v>5204</v>
      </c>
      <c r="H69" s="5">
        <v>110848</v>
      </c>
      <c r="I69" s="5">
        <v>6105</v>
      </c>
      <c r="J69" s="5">
        <v>110951</v>
      </c>
      <c r="K69" s="5">
        <v>6234</v>
      </c>
      <c r="L69" s="5">
        <v>111468</v>
      </c>
      <c r="M69" s="5">
        <v>6370</v>
      </c>
      <c r="N69" s="5">
        <v>112148</v>
      </c>
      <c r="O69" s="5">
        <v>6449</v>
      </c>
      <c r="P69" s="5">
        <v>112249</v>
      </c>
      <c r="Q69" s="5">
        <v>7031</v>
      </c>
      <c r="R69" s="5">
        <v>111991</v>
      </c>
      <c r="S69" s="5">
        <v>7229</v>
      </c>
      <c r="T69" s="5">
        <v>113283</v>
      </c>
      <c r="U69" s="5">
        <v>7301</v>
      </c>
      <c r="V69" s="5">
        <v>114301</v>
      </c>
      <c r="W69" s="5">
        <v>8322</v>
      </c>
      <c r="X69" s="5">
        <v>115934</v>
      </c>
      <c r="Y69" s="5">
        <v>8238</v>
      </c>
      <c r="Z69" s="5">
        <v>117440</v>
      </c>
      <c r="AA69" s="5">
        <v>10176</v>
      </c>
      <c r="AB69" s="5">
        <v>118783</v>
      </c>
    </row>
    <row r="70" spans="1:28">
      <c r="A70" s="3" t="s">
        <v>96</v>
      </c>
      <c r="B70" s="3" t="str">
        <f>VLOOKUP(A70,Примечания!$A:$B,2,0)</f>
        <v>ЦФО</v>
      </c>
      <c r="C70" s="4">
        <f t="shared" ref="C70:D70" si="68">E70+G70+I70+K70+M70+O70+Q70+S70+U70+W70+Y70+AA70</f>
        <v>76421</v>
      </c>
      <c r="D70" s="4">
        <f t="shared" si="68"/>
        <v>1266397</v>
      </c>
      <c r="E70" s="5">
        <v>4416</v>
      </c>
      <c r="F70" s="5">
        <v>103861</v>
      </c>
      <c r="G70" s="5">
        <v>4648</v>
      </c>
      <c r="H70" s="5">
        <v>103326</v>
      </c>
      <c r="I70" s="5">
        <v>5721</v>
      </c>
      <c r="J70" s="5">
        <v>103712</v>
      </c>
      <c r="K70" s="5">
        <v>5330</v>
      </c>
      <c r="L70" s="5">
        <v>103834</v>
      </c>
      <c r="M70" s="5">
        <v>5388</v>
      </c>
      <c r="N70" s="5">
        <v>104289</v>
      </c>
      <c r="O70" s="5">
        <v>8448</v>
      </c>
      <c r="P70" s="5">
        <v>106701</v>
      </c>
      <c r="Q70" s="5">
        <v>6117</v>
      </c>
      <c r="R70" s="5">
        <v>105337</v>
      </c>
      <c r="S70" s="5">
        <v>6594</v>
      </c>
      <c r="T70" s="5">
        <v>106274</v>
      </c>
      <c r="U70" s="5">
        <v>7570</v>
      </c>
      <c r="V70" s="5">
        <v>106712</v>
      </c>
      <c r="W70" s="5">
        <v>6837</v>
      </c>
      <c r="X70" s="5">
        <v>107206</v>
      </c>
      <c r="Y70" s="5">
        <v>6694</v>
      </c>
      <c r="Z70" s="5">
        <v>107333</v>
      </c>
      <c r="AA70" s="5">
        <v>8658</v>
      </c>
      <c r="AB70" s="5">
        <v>107812</v>
      </c>
    </row>
    <row r="71" spans="1:28">
      <c r="A71" s="3" t="s">
        <v>97</v>
      </c>
      <c r="B71" s="3" t="str">
        <f>VLOOKUP(A71,Примечания!$A:$B,2,0)</f>
        <v>СФО</v>
      </c>
      <c r="C71" s="4">
        <f t="shared" ref="C71:D71" si="69">E71+G71+I71+K71+M71+O71+Q71+S71+U71+W71+Y71+AA71</f>
        <v>74724</v>
      </c>
      <c r="D71" s="4">
        <f t="shared" si="69"/>
        <v>1415635</v>
      </c>
      <c r="E71" s="5">
        <v>4471</v>
      </c>
      <c r="F71" s="5">
        <v>117972</v>
      </c>
      <c r="G71" s="5">
        <v>4864</v>
      </c>
      <c r="H71" s="5">
        <v>117443</v>
      </c>
      <c r="I71" s="5">
        <v>5423</v>
      </c>
      <c r="J71" s="5">
        <v>117228</v>
      </c>
      <c r="K71" s="5">
        <v>5562</v>
      </c>
      <c r="L71" s="5">
        <v>117177</v>
      </c>
      <c r="M71" s="5">
        <v>5690</v>
      </c>
      <c r="N71" s="5">
        <v>117427</v>
      </c>
      <c r="O71" s="5">
        <v>6157</v>
      </c>
      <c r="P71" s="5">
        <v>117483</v>
      </c>
      <c r="Q71" s="5">
        <v>6472</v>
      </c>
      <c r="R71" s="5">
        <v>116935</v>
      </c>
      <c r="S71" s="5">
        <v>6946</v>
      </c>
      <c r="T71" s="5">
        <v>117878</v>
      </c>
      <c r="U71" s="5">
        <v>6504</v>
      </c>
      <c r="V71" s="5">
        <v>118331</v>
      </c>
      <c r="W71" s="5">
        <v>7016</v>
      </c>
      <c r="X71" s="5">
        <v>118852</v>
      </c>
      <c r="Y71" s="5">
        <v>6912</v>
      </c>
      <c r="Z71" s="5">
        <v>119150</v>
      </c>
      <c r="AA71" s="5">
        <v>8707</v>
      </c>
      <c r="AB71" s="5">
        <v>119759</v>
      </c>
    </row>
    <row r="72" spans="1:28">
      <c r="A72" s="3" t="s">
        <v>98</v>
      </c>
      <c r="B72" s="3" t="str">
        <f>VLOOKUP(A72,Примечания!$A:$B,2,0)</f>
        <v>СЗФО</v>
      </c>
      <c r="C72" s="4">
        <f t="shared" ref="C72:D72" si="70">E72+G72+I72+K72+M72+O72+Q72+S72+U72+W72+Y72+AA72</f>
        <v>73055</v>
      </c>
      <c r="D72" s="4">
        <f t="shared" si="70"/>
        <v>1192038</v>
      </c>
      <c r="E72" s="5">
        <v>4528</v>
      </c>
      <c r="F72" s="5">
        <v>99582</v>
      </c>
      <c r="G72" s="5">
        <v>4811</v>
      </c>
      <c r="H72" s="5">
        <v>99170</v>
      </c>
      <c r="I72" s="5">
        <v>5463</v>
      </c>
      <c r="J72" s="5">
        <v>98971</v>
      </c>
      <c r="K72" s="5">
        <v>5403</v>
      </c>
      <c r="L72" s="5">
        <v>98838</v>
      </c>
      <c r="M72" s="5">
        <v>5665</v>
      </c>
      <c r="N72" s="5">
        <v>98986</v>
      </c>
      <c r="O72" s="5">
        <v>5647</v>
      </c>
      <c r="P72" s="5">
        <v>98499</v>
      </c>
      <c r="Q72" s="5">
        <v>6274</v>
      </c>
      <c r="R72" s="5">
        <v>98087</v>
      </c>
      <c r="S72" s="5">
        <v>6655</v>
      </c>
      <c r="T72" s="5">
        <v>98947</v>
      </c>
      <c r="U72" s="5">
        <v>6466</v>
      </c>
      <c r="V72" s="5">
        <v>99293</v>
      </c>
      <c r="W72" s="5">
        <v>7081</v>
      </c>
      <c r="X72" s="5">
        <v>100179</v>
      </c>
      <c r="Y72" s="5">
        <v>6859</v>
      </c>
      <c r="Z72" s="5">
        <v>100565</v>
      </c>
      <c r="AA72" s="5">
        <v>8203</v>
      </c>
      <c r="AB72" s="5">
        <v>100921</v>
      </c>
    </row>
    <row r="73" spans="1:28">
      <c r="A73" s="3" t="s">
        <v>99</v>
      </c>
      <c r="B73" s="3" t="str">
        <f>VLOOKUP(A73,Примечания!$A:$B,2,0)</f>
        <v>СЗФО</v>
      </c>
      <c r="C73" s="4">
        <f t="shared" ref="C73:D73" si="71">E73+G73+I73+K73+M73+O73+Q73+S73+U73+W73+Y73+AA73</f>
        <v>72624</v>
      </c>
      <c r="D73" s="4">
        <f t="shared" si="71"/>
        <v>1220228</v>
      </c>
      <c r="E73" s="5">
        <v>4285</v>
      </c>
      <c r="F73" s="5">
        <v>101752</v>
      </c>
      <c r="G73" s="5">
        <v>4731</v>
      </c>
      <c r="H73" s="5">
        <v>101158</v>
      </c>
      <c r="I73" s="5">
        <v>5424</v>
      </c>
      <c r="J73" s="5">
        <v>101039</v>
      </c>
      <c r="K73" s="5">
        <v>5343</v>
      </c>
      <c r="L73" s="5">
        <v>100898</v>
      </c>
      <c r="M73" s="5">
        <v>5455</v>
      </c>
      <c r="N73" s="5">
        <v>100991</v>
      </c>
      <c r="O73" s="5">
        <v>5691</v>
      </c>
      <c r="P73" s="5">
        <v>100658</v>
      </c>
      <c r="Q73" s="5">
        <v>6241</v>
      </c>
      <c r="R73" s="5">
        <v>100215</v>
      </c>
      <c r="S73" s="5">
        <v>6829</v>
      </c>
      <c r="T73" s="5">
        <v>101250</v>
      </c>
      <c r="U73" s="5">
        <v>6673</v>
      </c>
      <c r="V73" s="5">
        <v>102003</v>
      </c>
      <c r="W73" s="5">
        <v>7014</v>
      </c>
      <c r="X73" s="5">
        <v>102820</v>
      </c>
      <c r="Y73" s="5">
        <v>7115</v>
      </c>
      <c r="Z73" s="5">
        <v>103536</v>
      </c>
      <c r="AA73" s="5">
        <v>7823</v>
      </c>
      <c r="AB73" s="5">
        <v>103908</v>
      </c>
    </row>
    <row r="74" spans="1:28">
      <c r="A74" s="3" t="s">
        <v>100</v>
      </c>
      <c r="B74" s="3" t="str">
        <f>VLOOKUP(A74,Примечания!$A:$B,2,0)</f>
        <v>СКФО</v>
      </c>
      <c r="C74" s="4">
        <f t="shared" ref="C74:D74" si="72">E74+G74+I74+K74+M74+O74+Q74+S74+U74+W74+Y74+AA74</f>
        <v>68936</v>
      </c>
      <c r="D74" s="4">
        <f t="shared" si="72"/>
        <v>1356859</v>
      </c>
      <c r="E74" s="5">
        <v>4564</v>
      </c>
      <c r="F74" s="5">
        <v>113332</v>
      </c>
      <c r="G74" s="5">
        <v>4737</v>
      </c>
      <c r="H74" s="5">
        <v>113060</v>
      </c>
      <c r="I74" s="5">
        <v>5387</v>
      </c>
      <c r="J74" s="5">
        <v>112945</v>
      </c>
      <c r="K74" s="5">
        <v>5115</v>
      </c>
      <c r="L74" s="5">
        <v>112749</v>
      </c>
      <c r="M74" s="5">
        <v>5387</v>
      </c>
      <c r="N74" s="5">
        <v>113149</v>
      </c>
      <c r="O74" s="5">
        <v>5397</v>
      </c>
      <c r="P74" s="5">
        <v>112839</v>
      </c>
      <c r="Q74" s="5">
        <v>5725</v>
      </c>
      <c r="R74" s="5">
        <v>112103</v>
      </c>
      <c r="S74" s="5">
        <v>6212</v>
      </c>
      <c r="T74" s="5">
        <v>112820</v>
      </c>
      <c r="U74" s="5">
        <v>6030</v>
      </c>
      <c r="V74" s="5">
        <v>112986</v>
      </c>
      <c r="W74" s="5">
        <v>6235</v>
      </c>
      <c r="X74" s="5">
        <v>113286</v>
      </c>
      <c r="Y74" s="5">
        <v>6244</v>
      </c>
      <c r="Z74" s="5">
        <v>113683</v>
      </c>
      <c r="AA74" s="5">
        <v>7903</v>
      </c>
      <c r="AB74" s="5">
        <v>113907</v>
      </c>
    </row>
    <row r="75" spans="1:28">
      <c r="A75" s="3" t="s">
        <v>101</v>
      </c>
      <c r="B75" s="3" t="str">
        <f>VLOOKUP(A75,Примечания!$A:$B,2,0)</f>
        <v>ЮФО</v>
      </c>
      <c r="C75" s="4">
        <f t="shared" ref="C75:D75" si="73">E75+G75+I75+K75+M75+O75+Q75+S75+U75+W75+Y75+AA75</f>
        <v>62186</v>
      </c>
      <c r="D75" s="4">
        <f t="shared" si="73"/>
        <v>1232978</v>
      </c>
      <c r="E75" s="5">
        <v>3650</v>
      </c>
      <c r="F75" s="5">
        <v>100424</v>
      </c>
      <c r="G75" s="5">
        <v>3843</v>
      </c>
      <c r="H75" s="5">
        <v>100199</v>
      </c>
      <c r="I75" s="5">
        <v>4600</v>
      </c>
      <c r="J75" s="5">
        <v>100394</v>
      </c>
      <c r="K75" s="5">
        <v>4447</v>
      </c>
      <c r="L75" s="5">
        <v>100515</v>
      </c>
      <c r="M75" s="5">
        <v>4589</v>
      </c>
      <c r="N75" s="5">
        <v>100843</v>
      </c>
      <c r="O75" s="5">
        <v>5019</v>
      </c>
      <c r="P75" s="5">
        <v>101451</v>
      </c>
      <c r="Q75" s="5">
        <v>5646</v>
      </c>
      <c r="R75" s="5">
        <v>102346</v>
      </c>
      <c r="S75" s="5">
        <v>5569</v>
      </c>
      <c r="T75" s="5">
        <v>103333</v>
      </c>
      <c r="U75" s="5">
        <v>5517</v>
      </c>
      <c r="V75" s="5">
        <v>104286</v>
      </c>
      <c r="W75" s="5">
        <v>5840</v>
      </c>
      <c r="X75" s="5">
        <v>105249</v>
      </c>
      <c r="Y75" s="5">
        <v>5694</v>
      </c>
      <c r="Z75" s="5">
        <v>105970</v>
      </c>
      <c r="AA75" s="5">
        <v>7772</v>
      </c>
      <c r="AB75" s="5">
        <v>107968</v>
      </c>
    </row>
    <row r="76" spans="1:28">
      <c r="A76" s="3" t="s">
        <v>102</v>
      </c>
      <c r="B76" s="3" t="str">
        <f>VLOOKUP(A76,Примечания!$A:$B,2,0)</f>
        <v>ДФО</v>
      </c>
      <c r="C76" s="4">
        <f t="shared" ref="C76:D76" si="74">E76+G76+I76+K76+M76+O76+Q76+S76+U76+W76+Y76+AA76</f>
        <v>60737</v>
      </c>
      <c r="D76" s="4">
        <f t="shared" si="74"/>
        <v>1145397</v>
      </c>
      <c r="E76" s="5">
        <v>3711</v>
      </c>
      <c r="F76" s="5">
        <v>96159</v>
      </c>
      <c r="G76" s="5">
        <v>3987</v>
      </c>
      <c r="H76" s="5">
        <v>95778</v>
      </c>
      <c r="I76" s="5">
        <v>4471</v>
      </c>
      <c r="J76" s="5">
        <v>95579</v>
      </c>
      <c r="K76" s="5">
        <v>4509</v>
      </c>
      <c r="L76" s="5">
        <v>95234</v>
      </c>
      <c r="M76" s="5">
        <v>4827</v>
      </c>
      <c r="N76" s="5">
        <v>95432</v>
      </c>
      <c r="O76" s="5">
        <v>4756</v>
      </c>
      <c r="P76" s="5">
        <v>95113</v>
      </c>
      <c r="Q76" s="5">
        <v>5427</v>
      </c>
      <c r="R76" s="5">
        <v>94591</v>
      </c>
      <c r="S76" s="5">
        <v>5642</v>
      </c>
      <c r="T76" s="5">
        <v>95148</v>
      </c>
      <c r="U76" s="5">
        <v>5616</v>
      </c>
      <c r="V76" s="5">
        <v>95268</v>
      </c>
      <c r="W76" s="5">
        <v>6026</v>
      </c>
      <c r="X76" s="5">
        <v>95803</v>
      </c>
      <c r="Y76" s="5">
        <v>5594</v>
      </c>
      <c r="Z76" s="5">
        <v>95889</v>
      </c>
      <c r="AA76" s="5">
        <v>6171</v>
      </c>
      <c r="AB76" s="5">
        <v>95403</v>
      </c>
    </row>
    <row r="77" spans="1:28">
      <c r="A77" s="3" t="s">
        <v>103</v>
      </c>
      <c r="B77" s="3" t="str">
        <f>VLOOKUP(A77,Примечания!$A:$B,2,0)</f>
        <v>СКФО</v>
      </c>
      <c r="C77" s="4">
        <f t="shared" ref="C77:D77" si="75">E77+G77+I77+K77+M77+O77+Q77+S77+U77+W77+Y77+AA77</f>
        <v>59834</v>
      </c>
      <c r="D77" s="4">
        <f t="shared" si="75"/>
        <v>1146512</v>
      </c>
      <c r="E77" s="5">
        <v>3839</v>
      </c>
      <c r="F77" s="5">
        <v>95449</v>
      </c>
      <c r="G77" s="5">
        <v>3785</v>
      </c>
      <c r="H77" s="5">
        <v>94908</v>
      </c>
      <c r="I77" s="5">
        <v>4588</v>
      </c>
      <c r="J77" s="5">
        <v>94878</v>
      </c>
      <c r="K77" s="5">
        <v>4552</v>
      </c>
      <c r="L77" s="5">
        <v>94902</v>
      </c>
      <c r="M77" s="5">
        <v>4671</v>
      </c>
      <c r="N77" s="5">
        <v>95188</v>
      </c>
      <c r="O77" s="5">
        <v>4633</v>
      </c>
      <c r="P77" s="5">
        <v>95091</v>
      </c>
      <c r="Q77" s="5">
        <v>5157</v>
      </c>
      <c r="R77" s="5">
        <v>94665</v>
      </c>
      <c r="S77" s="5">
        <v>5709</v>
      </c>
      <c r="T77" s="5">
        <v>95614</v>
      </c>
      <c r="U77" s="5">
        <v>5059</v>
      </c>
      <c r="V77" s="5">
        <v>95841</v>
      </c>
      <c r="W77" s="5">
        <v>5464</v>
      </c>
      <c r="X77" s="5">
        <v>96215</v>
      </c>
      <c r="Y77" s="5">
        <v>5818</v>
      </c>
      <c r="Z77" s="5">
        <v>96925</v>
      </c>
      <c r="AA77" s="5">
        <v>6559</v>
      </c>
      <c r="AB77" s="5">
        <v>96836</v>
      </c>
    </row>
    <row r="78" spans="1:28">
      <c r="A78" s="3" t="s">
        <v>104</v>
      </c>
      <c r="B78" s="3" t="str">
        <f>VLOOKUP(A78,Примечания!$A:$B,2,0)</f>
        <v>ЮФО</v>
      </c>
      <c r="C78" s="4">
        <f t="shared" ref="C78:D78" si="76">E78+G78+I78+K78+M78+O78+Q78+S78+U78+W78+Y78+AA78</f>
        <v>59445</v>
      </c>
      <c r="D78" s="4">
        <f t="shared" si="76"/>
        <v>768425</v>
      </c>
      <c r="E78" s="5">
        <v>4173</v>
      </c>
      <c r="F78" s="5">
        <v>61951</v>
      </c>
      <c r="G78" s="5">
        <v>4459</v>
      </c>
      <c r="H78" s="5">
        <v>62201</v>
      </c>
      <c r="I78" s="5">
        <v>4692</v>
      </c>
      <c r="J78" s="5">
        <v>62231</v>
      </c>
      <c r="K78" s="5">
        <v>4467</v>
      </c>
      <c r="L78" s="5">
        <v>62242</v>
      </c>
      <c r="M78" s="5">
        <v>4369</v>
      </c>
      <c r="N78" s="5">
        <v>62603</v>
      </c>
      <c r="O78" s="5">
        <v>4304</v>
      </c>
      <c r="P78" s="5">
        <v>63011</v>
      </c>
      <c r="Q78" s="5">
        <v>4777</v>
      </c>
      <c r="R78" s="5">
        <v>63552</v>
      </c>
      <c r="S78" s="5">
        <v>4901</v>
      </c>
      <c r="T78" s="5">
        <v>64170</v>
      </c>
      <c r="U78" s="5">
        <v>4982</v>
      </c>
      <c r="V78" s="5">
        <v>64892</v>
      </c>
      <c r="W78" s="5">
        <v>5631</v>
      </c>
      <c r="X78" s="5">
        <v>65880</v>
      </c>
      <c r="Y78" s="5">
        <v>5712</v>
      </c>
      <c r="Z78" s="5">
        <v>67238</v>
      </c>
      <c r="AA78" s="5">
        <v>6978</v>
      </c>
      <c r="AB78" s="5">
        <v>68454</v>
      </c>
    </row>
    <row r="79" spans="1:28">
      <c r="A79" s="3" t="s">
        <v>105</v>
      </c>
      <c r="B79" s="3" t="str">
        <f>VLOOKUP(A79,Примечания!$A:$B,2,0)</f>
        <v>ЮФО</v>
      </c>
      <c r="C79" s="4">
        <f t="shared" ref="C79:D79" si="77">E79+G79+I79+K79+M79+O79+Q79+S79+U79+W79+Y79+AA79</f>
        <v>52429</v>
      </c>
      <c r="D79" s="4">
        <f t="shared" si="77"/>
        <v>1048444</v>
      </c>
      <c r="E79" s="5">
        <v>2928</v>
      </c>
      <c r="F79" s="5">
        <v>83759</v>
      </c>
      <c r="G79" s="5">
        <v>2944</v>
      </c>
      <c r="H79" s="5">
        <v>83600</v>
      </c>
      <c r="I79" s="5">
        <v>3771</v>
      </c>
      <c r="J79" s="5">
        <v>84360</v>
      </c>
      <c r="K79" s="5">
        <v>3591</v>
      </c>
      <c r="L79" s="5">
        <v>84595</v>
      </c>
      <c r="M79" s="5">
        <v>3770</v>
      </c>
      <c r="N79" s="5">
        <v>85276</v>
      </c>
      <c r="O79" s="5">
        <v>3935</v>
      </c>
      <c r="P79" s="5">
        <v>85877</v>
      </c>
      <c r="Q79" s="5">
        <v>4480</v>
      </c>
      <c r="R79" s="5">
        <v>87032</v>
      </c>
      <c r="S79" s="5">
        <v>4891</v>
      </c>
      <c r="T79" s="5">
        <v>88320</v>
      </c>
      <c r="U79" s="5">
        <v>4715</v>
      </c>
      <c r="V79" s="5">
        <v>89343</v>
      </c>
      <c r="W79" s="5">
        <v>5242</v>
      </c>
      <c r="X79" s="5">
        <v>90630</v>
      </c>
      <c r="Y79" s="5">
        <v>5235</v>
      </c>
      <c r="Z79" s="5">
        <v>91857</v>
      </c>
      <c r="AA79" s="5">
        <v>6927</v>
      </c>
      <c r="AB79" s="5">
        <v>93795</v>
      </c>
    </row>
    <row r="80" spans="1:28">
      <c r="A80" s="3" t="s">
        <v>106</v>
      </c>
      <c r="B80" s="3" t="str">
        <f>VLOOKUP(A80,Примечания!$A:$B,2,0)</f>
        <v>СКФО</v>
      </c>
      <c r="C80" s="4">
        <f t="shared" ref="C80:D80" si="78">E80+G80+I80+K80+M80+O80+Q80+S80+U80+W80+Y80+AA80</f>
        <v>49180</v>
      </c>
      <c r="D80" s="4">
        <f t="shared" si="78"/>
        <v>1016260</v>
      </c>
      <c r="E80" s="5">
        <v>3493</v>
      </c>
      <c r="F80" s="5">
        <v>86597</v>
      </c>
      <c r="G80" s="5">
        <v>3555</v>
      </c>
      <c r="H80" s="5">
        <v>85812</v>
      </c>
      <c r="I80" s="5">
        <v>3961</v>
      </c>
      <c r="J80" s="5">
        <v>85204</v>
      </c>
      <c r="K80" s="5">
        <v>3770</v>
      </c>
      <c r="L80" s="5">
        <v>89197</v>
      </c>
      <c r="M80" s="5">
        <v>4045</v>
      </c>
      <c r="N80" s="5">
        <v>88998</v>
      </c>
      <c r="O80" s="5">
        <v>3977</v>
      </c>
      <c r="P80" s="5">
        <v>84202</v>
      </c>
      <c r="Q80" s="5">
        <v>4360</v>
      </c>
      <c r="R80" s="5">
        <v>84008</v>
      </c>
      <c r="S80" s="5">
        <v>4260</v>
      </c>
      <c r="T80" s="5">
        <v>83598</v>
      </c>
      <c r="U80" s="5">
        <v>4304</v>
      </c>
      <c r="V80" s="5">
        <v>83122</v>
      </c>
      <c r="W80" s="5">
        <v>4342</v>
      </c>
      <c r="X80" s="5">
        <v>82584</v>
      </c>
      <c r="Y80" s="5">
        <v>4298</v>
      </c>
      <c r="Z80" s="5">
        <v>82105</v>
      </c>
      <c r="AA80" s="5">
        <v>4815</v>
      </c>
      <c r="AB80" s="5">
        <v>80833</v>
      </c>
    </row>
    <row r="81" spans="1:28">
      <c r="A81" s="3" t="s">
        <v>107</v>
      </c>
      <c r="B81" s="3" t="str">
        <f>VLOOKUP(A81,Примечания!$A:$B,2,0)</f>
        <v>СФО</v>
      </c>
      <c r="C81" s="4">
        <f t="shared" ref="C81:D81" si="79">E81+G81+I81+K81+M81+O81+Q81+S81+U81+W81+Y81+AA81</f>
        <v>47947</v>
      </c>
      <c r="D81" s="4">
        <f t="shared" si="79"/>
        <v>1643189</v>
      </c>
      <c r="E81" s="5">
        <v>2844</v>
      </c>
      <c r="F81" s="5">
        <v>133359</v>
      </c>
      <c r="G81" s="5">
        <v>2845</v>
      </c>
      <c r="H81" s="5">
        <v>133217</v>
      </c>
      <c r="I81" s="5">
        <v>3442</v>
      </c>
      <c r="J81" s="5">
        <v>133583</v>
      </c>
      <c r="K81" s="5">
        <v>4584</v>
      </c>
      <c r="L81" s="5">
        <v>134996</v>
      </c>
      <c r="M81" s="5">
        <v>3868</v>
      </c>
      <c r="N81" s="5">
        <v>135830</v>
      </c>
      <c r="O81" s="5">
        <v>4058</v>
      </c>
      <c r="P81" s="5">
        <v>136552</v>
      </c>
      <c r="Q81" s="5">
        <v>4595</v>
      </c>
      <c r="R81" s="5">
        <v>137041</v>
      </c>
      <c r="S81" s="5">
        <v>4964</v>
      </c>
      <c r="T81" s="5">
        <v>138834</v>
      </c>
      <c r="U81" s="5">
        <v>3906</v>
      </c>
      <c r="V81" s="5">
        <v>139421</v>
      </c>
      <c r="W81" s="5">
        <v>4203</v>
      </c>
      <c r="X81" s="5">
        <v>140120</v>
      </c>
      <c r="Y81" s="5">
        <v>3797</v>
      </c>
      <c r="Z81" s="5">
        <v>140215</v>
      </c>
      <c r="AA81" s="5">
        <v>4841</v>
      </c>
      <c r="AB81" s="5">
        <v>140021</v>
      </c>
    </row>
    <row r="82" spans="1:28">
      <c r="A82" s="3" t="s">
        <v>108</v>
      </c>
      <c r="B82" s="3" t="str">
        <f>VLOOKUP(A82,Примечания!$A:$B,2,0)</f>
        <v>СКФО</v>
      </c>
      <c r="C82" s="4">
        <f t="shared" ref="C82:D82" si="80">E82+G82+I82+K82+M82+O82+Q82+S82+U82+W82+Y82+AA82</f>
        <v>38345</v>
      </c>
      <c r="D82" s="4">
        <f t="shared" si="80"/>
        <v>863918</v>
      </c>
      <c r="E82" s="5">
        <v>2431</v>
      </c>
      <c r="F82" s="5">
        <v>72238</v>
      </c>
      <c r="G82" s="5">
        <v>2411</v>
      </c>
      <c r="H82" s="5">
        <v>71866</v>
      </c>
      <c r="I82" s="5">
        <v>2871</v>
      </c>
      <c r="J82" s="5">
        <v>71635</v>
      </c>
      <c r="K82" s="5">
        <v>2870</v>
      </c>
      <c r="L82" s="5">
        <v>71529</v>
      </c>
      <c r="M82" s="5">
        <v>2979</v>
      </c>
      <c r="N82" s="5">
        <v>71599</v>
      </c>
      <c r="O82" s="5">
        <v>3039</v>
      </c>
      <c r="P82" s="5">
        <v>71580</v>
      </c>
      <c r="Q82" s="5">
        <v>3330</v>
      </c>
      <c r="R82" s="5">
        <v>71399</v>
      </c>
      <c r="S82" s="5">
        <v>3726</v>
      </c>
      <c r="T82" s="5">
        <v>72054</v>
      </c>
      <c r="U82" s="5">
        <v>3406</v>
      </c>
      <c r="V82" s="5">
        <v>72280</v>
      </c>
      <c r="W82" s="5">
        <v>3647</v>
      </c>
      <c r="X82" s="5">
        <v>72518</v>
      </c>
      <c r="Y82" s="5">
        <v>3434</v>
      </c>
      <c r="Z82" s="5">
        <v>72598</v>
      </c>
      <c r="AA82" s="5">
        <v>4201</v>
      </c>
      <c r="AB82" s="5">
        <v>72622</v>
      </c>
    </row>
    <row r="83" spans="1:28">
      <c r="A83" s="3" t="s">
        <v>109</v>
      </c>
      <c r="B83" s="3" t="str">
        <f>VLOOKUP(A83,Примечания!$A:$B,2,0)</f>
        <v>ДФО</v>
      </c>
      <c r="C83" s="4">
        <f t="shared" ref="C83:D83" si="81">E83+G83+I83+K83+M83+O83+Q83+S83+U83+W83+Y83+AA83</f>
        <v>30862</v>
      </c>
      <c r="D83" s="4">
        <f t="shared" si="81"/>
        <v>590549</v>
      </c>
      <c r="E83" s="5">
        <v>1852</v>
      </c>
      <c r="F83" s="5">
        <v>49941</v>
      </c>
      <c r="G83" s="5">
        <v>1886</v>
      </c>
      <c r="H83" s="5">
        <v>49647</v>
      </c>
      <c r="I83" s="5">
        <v>2127</v>
      </c>
      <c r="J83" s="5">
        <v>49409</v>
      </c>
      <c r="K83" s="5">
        <v>2301</v>
      </c>
      <c r="L83" s="5">
        <v>49321</v>
      </c>
      <c r="M83" s="5">
        <v>2422</v>
      </c>
      <c r="N83" s="5">
        <v>49441</v>
      </c>
      <c r="O83" s="5">
        <v>2560</v>
      </c>
      <c r="P83" s="5">
        <v>49208</v>
      </c>
      <c r="Q83" s="5">
        <v>2774</v>
      </c>
      <c r="R83" s="5">
        <v>48558</v>
      </c>
      <c r="S83" s="5">
        <v>2945</v>
      </c>
      <c r="T83" s="5">
        <v>48822</v>
      </c>
      <c r="U83" s="5">
        <v>2818</v>
      </c>
      <c r="V83" s="5">
        <v>48969</v>
      </c>
      <c r="W83" s="5">
        <v>3024</v>
      </c>
      <c r="X83" s="5">
        <v>49203</v>
      </c>
      <c r="Y83" s="5">
        <v>2915</v>
      </c>
      <c r="Z83" s="5">
        <v>49241</v>
      </c>
      <c r="AA83" s="5">
        <v>3238</v>
      </c>
      <c r="AB83" s="5">
        <v>48789</v>
      </c>
    </row>
    <row r="84" spans="1:28">
      <c r="A84" s="3" t="s">
        <v>110</v>
      </c>
      <c r="B84" s="3" t="str">
        <f>VLOOKUP(A84,Примечания!$A:$B,2,0)</f>
        <v>СФО</v>
      </c>
      <c r="C84" s="4">
        <f t="shared" ref="C84:D84" si="82">E84+G84+I84+K84+M84+O84+Q84+S84+U84+W84+Y84+AA84</f>
        <v>29337</v>
      </c>
      <c r="D84" s="4">
        <f t="shared" si="82"/>
        <v>508083</v>
      </c>
      <c r="E84" s="5">
        <v>1742</v>
      </c>
      <c r="F84" s="5">
        <v>41930</v>
      </c>
      <c r="G84" s="5">
        <v>1842</v>
      </c>
      <c r="H84" s="5">
        <v>41777</v>
      </c>
      <c r="I84" s="5">
        <v>2081</v>
      </c>
      <c r="J84" s="5">
        <v>41798</v>
      </c>
      <c r="K84" s="5">
        <v>2167</v>
      </c>
      <c r="L84" s="5">
        <v>41829</v>
      </c>
      <c r="M84" s="5">
        <v>2228</v>
      </c>
      <c r="N84" s="5">
        <v>41983</v>
      </c>
      <c r="O84" s="5">
        <v>3084</v>
      </c>
      <c r="P84" s="5">
        <v>42723</v>
      </c>
      <c r="Q84" s="5">
        <v>2565</v>
      </c>
      <c r="R84" s="5">
        <v>42258</v>
      </c>
      <c r="S84" s="5">
        <v>2711</v>
      </c>
      <c r="T84" s="5">
        <v>42408</v>
      </c>
      <c r="U84" s="5">
        <v>2492</v>
      </c>
      <c r="V84" s="5">
        <v>42562</v>
      </c>
      <c r="W84" s="5">
        <v>2699</v>
      </c>
      <c r="X84" s="5">
        <v>42792</v>
      </c>
      <c r="Y84" s="5">
        <v>2717</v>
      </c>
      <c r="Z84" s="5">
        <v>43001</v>
      </c>
      <c r="AA84" s="5">
        <v>3009</v>
      </c>
      <c r="AB84" s="5">
        <v>43022</v>
      </c>
    </row>
    <row r="85" spans="1:28">
      <c r="A85" s="3" t="s">
        <v>111</v>
      </c>
      <c r="B85" s="3" t="str">
        <f>VLOOKUP(A85,Примечания!$A:$B,2,0)</f>
        <v>ДФО</v>
      </c>
      <c r="C85" s="4">
        <f t="shared" ref="C85:D85" si="83">E85+G85+I85+K85+M85+O85+Q85+S85+U85+W85+Y85+AA85</f>
        <v>17997</v>
      </c>
      <c r="D85" s="4">
        <f t="shared" si="83"/>
        <v>340084</v>
      </c>
      <c r="E85" s="5">
        <v>1059</v>
      </c>
      <c r="F85" s="5">
        <v>28520</v>
      </c>
      <c r="G85" s="5">
        <v>1212</v>
      </c>
      <c r="H85" s="5">
        <v>28462</v>
      </c>
      <c r="I85" s="5">
        <v>1362</v>
      </c>
      <c r="J85" s="5">
        <v>28438</v>
      </c>
      <c r="K85" s="5">
        <v>1365</v>
      </c>
      <c r="L85" s="5">
        <v>28373</v>
      </c>
      <c r="M85" s="5">
        <v>1392</v>
      </c>
      <c r="N85" s="5">
        <v>28364</v>
      </c>
      <c r="O85" s="5">
        <v>1403</v>
      </c>
      <c r="P85" s="5">
        <v>28197</v>
      </c>
      <c r="Q85" s="5">
        <v>1636</v>
      </c>
      <c r="R85" s="5">
        <v>28011</v>
      </c>
      <c r="S85" s="5">
        <v>1686</v>
      </c>
      <c r="T85" s="5">
        <v>28260</v>
      </c>
      <c r="U85" s="5">
        <v>1577</v>
      </c>
      <c r="V85" s="5">
        <v>28334</v>
      </c>
      <c r="W85" s="5">
        <v>1710</v>
      </c>
      <c r="X85" s="5">
        <v>28389</v>
      </c>
      <c r="Y85" s="5">
        <v>1615</v>
      </c>
      <c r="Z85" s="5">
        <v>28415</v>
      </c>
      <c r="AA85" s="5">
        <v>1980</v>
      </c>
      <c r="AB85" s="5">
        <v>28321</v>
      </c>
    </row>
    <row r="86" spans="1:28">
      <c r="A86" s="3" t="s">
        <v>112</v>
      </c>
      <c r="B86" s="3" t="str">
        <f>VLOOKUP(A86,Примечания!$A:$B,2,0)</f>
        <v>ДФО</v>
      </c>
      <c r="C86" s="4">
        <f t="shared" ref="C86:D86" si="84">E86+G86+I86+K86+M86+O86+Q86+S86+U86+W86+Y86+AA86</f>
        <v>10941</v>
      </c>
      <c r="D86" s="4">
        <f t="shared" si="84"/>
        <v>240590</v>
      </c>
      <c r="E86" s="5">
        <v>609</v>
      </c>
      <c r="F86" s="5">
        <v>20323</v>
      </c>
      <c r="G86" s="5">
        <v>612</v>
      </c>
      <c r="H86" s="5">
        <v>20144</v>
      </c>
      <c r="I86" s="5">
        <v>670</v>
      </c>
      <c r="J86" s="5">
        <v>19961</v>
      </c>
      <c r="K86" s="5">
        <v>778</v>
      </c>
      <c r="L86" s="5">
        <v>19835</v>
      </c>
      <c r="M86" s="5">
        <v>876</v>
      </c>
      <c r="N86" s="5">
        <v>19891</v>
      </c>
      <c r="O86" s="5">
        <v>988</v>
      </c>
      <c r="P86" s="5">
        <v>19954</v>
      </c>
      <c r="Q86" s="5">
        <v>1141</v>
      </c>
      <c r="R86" s="5">
        <v>19875</v>
      </c>
      <c r="S86" s="5">
        <v>1224</v>
      </c>
      <c r="T86" s="5">
        <v>20106</v>
      </c>
      <c r="U86" s="5">
        <v>967</v>
      </c>
      <c r="V86" s="5">
        <v>20144</v>
      </c>
      <c r="W86" s="5">
        <v>1021</v>
      </c>
      <c r="X86" s="5">
        <v>20205</v>
      </c>
      <c r="Y86" s="5">
        <v>997</v>
      </c>
      <c r="Z86" s="5">
        <v>20248</v>
      </c>
      <c r="AA86" s="5">
        <v>1058</v>
      </c>
      <c r="AB86" s="5">
        <v>19904</v>
      </c>
    </row>
    <row r="87" spans="1:28">
      <c r="A87" s="3" t="s">
        <v>113</v>
      </c>
      <c r="B87" s="3" t="str">
        <f>VLOOKUP(A87,Примечания!$A:$B,2,0)</f>
        <v>СКФО</v>
      </c>
      <c r="C87" s="4">
        <f t="shared" ref="C87:D87" si="85">E87+G87+I87+K87+M87+O87+Q87+S87+U87+W87+Y87+AA87</f>
        <v>10785</v>
      </c>
      <c r="D87" s="4">
        <f t="shared" si="85"/>
        <v>193280</v>
      </c>
      <c r="E87" s="5">
        <v>772</v>
      </c>
      <c r="F87" s="5">
        <v>17056</v>
      </c>
      <c r="G87" s="5">
        <v>780</v>
      </c>
      <c r="H87" s="5">
        <v>16888</v>
      </c>
      <c r="I87" s="5">
        <v>919</v>
      </c>
      <c r="J87" s="5">
        <v>16770</v>
      </c>
      <c r="K87" s="5">
        <v>809</v>
      </c>
      <c r="L87" s="5">
        <v>16519</v>
      </c>
      <c r="M87" s="5">
        <v>839</v>
      </c>
      <c r="N87" s="5">
        <v>16432</v>
      </c>
      <c r="O87" s="5">
        <v>828</v>
      </c>
      <c r="P87" s="5">
        <v>16190</v>
      </c>
      <c r="Q87" s="5">
        <v>930</v>
      </c>
      <c r="R87" s="5">
        <v>16074</v>
      </c>
      <c r="S87" s="5">
        <v>912</v>
      </c>
      <c r="T87" s="5">
        <v>15843</v>
      </c>
      <c r="U87" s="5">
        <v>979</v>
      </c>
      <c r="V87" s="5">
        <v>15735</v>
      </c>
      <c r="W87" s="5">
        <v>968</v>
      </c>
      <c r="X87" s="5">
        <v>15441</v>
      </c>
      <c r="Y87" s="5">
        <v>953</v>
      </c>
      <c r="Z87" s="5">
        <v>15278</v>
      </c>
      <c r="AA87" s="5">
        <v>1096</v>
      </c>
      <c r="AB87" s="5">
        <v>15054</v>
      </c>
    </row>
    <row r="88" spans="1:28">
      <c r="A88" s="3" t="s">
        <v>114</v>
      </c>
      <c r="B88" s="3" t="str">
        <f>VLOOKUP(A88,Примечания!$A:$B,2,0)</f>
        <v>СЗФО</v>
      </c>
      <c r="C88" s="4">
        <f t="shared" ref="C88:D88" si="86">E88+G88+I88+K88+M88+O88+Q88+S88+U88+W88+Y88+AA88</f>
        <v>6841</v>
      </c>
      <c r="D88" s="4">
        <f t="shared" si="86"/>
        <v>145427</v>
      </c>
      <c r="E88" s="5">
        <v>382</v>
      </c>
      <c r="F88" s="5">
        <v>12252</v>
      </c>
      <c r="G88" s="5">
        <v>423</v>
      </c>
      <c r="H88" s="5">
        <v>12180</v>
      </c>
      <c r="I88" s="5">
        <v>512</v>
      </c>
      <c r="J88" s="5">
        <v>12143</v>
      </c>
      <c r="K88" s="5">
        <v>489</v>
      </c>
      <c r="L88" s="5">
        <v>12077</v>
      </c>
      <c r="M88" s="5">
        <v>469</v>
      </c>
      <c r="N88" s="5">
        <v>12019</v>
      </c>
      <c r="O88" s="5">
        <v>594</v>
      </c>
      <c r="P88" s="5">
        <v>12003</v>
      </c>
      <c r="Q88" s="5">
        <v>656</v>
      </c>
      <c r="R88" s="5">
        <v>12011</v>
      </c>
      <c r="S88" s="5">
        <v>680</v>
      </c>
      <c r="T88" s="5">
        <v>12102</v>
      </c>
      <c r="U88" s="5">
        <v>654</v>
      </c>
      <c r="V88" s="5">
        <v>12165</v>
      </c>
      <c r="W88" s="5">
        <v>643</v>
      </c>
      <c r="X88" s="5">
        <v>12197</v>
      </c>
      <c r="Y88" s="5">
        <v>602</v>
      </c>
      <c r="Z88" s="5">
        <v>12165</v>
      </c>
      <c r="AA88" s="5">
        <v>737</v>
      </c>
      <c r="AB88" s="5">
        <v>12113</v>
      </c>
    </row>
    <row r="89" spans="1:28">
      <c r="A89" s="6" t="s">
        <v>115</v>
      </c>
      <c r="B89" s="3"/>
      <c r="C89" s="4">
        <f t="shared" ref="C89:D89" si="87">E89+G89+I89+K89+M89+O89+Q89+S89+U89+W89+Y89+AA89</f>
        <v>22924505</v>
      </c>
      <c r="D89" s="4">
        <f t="shared" si="87"/>
        <v>421207421</v>
      </c>
      <c r="E89" s="4">
        <v>1386982</v>
      </c>
      <c r="F89" s="4">
        <v>34766820</v>
      </c>
      <c r="G89" s="4">
        <v>1490467</v>
      </c>
      <c r="H89" s="4">
        <v>34656777</v>
      </c>
      <c r="I89" s="4">
        <v>1705169</v>
      </c>
      <c r="J89" s="4">
        <v>34652400</v>
      </c>
      <c r="K89" s="4">
        <v>1715099</v>
      </c>
      <c r="L89" s="4">
        <v>34685101</v>
      </c>
      <c r="M89" s="4">
        <v>1761900</v>
      </c>
      <c r="N89" s="4">
        <v>34815608</v>
      </c>
      <c r="O89" s="4">
        <v>1815716</v>
      </c>
      <c r="P89" s="4">
        <v>34837725</v>
      </c>
      <c r="Q89" s="4">
        <v>1971050</v>
      </c>
      <c r="R89" s="4">
        <v>34792201</v>
      </c>
      <c r="S89" s="4">
        <v>2085008</v>
      </c>
      <c r="T89" s="4">
        <v>35110119</v>
      </c>
      <c r="U89" s="4">
        <v>2041947</v>
      </c>
      <c r="V89" s="4">
        <v>35339043</v>
      </c>
      <c r="W89" s="4">
        <v>2219135</v>
      </c>
      <c r="X89" s="4">
        <v>35657960</v>
      </c>
      <c r="Y89" s="4">
        <v>2169592</v>
      </c>
      <c r="Z89" s="4">
        <v>35863355</v>
      </c>
      <c r="AA89" s="4">
        <v>2562440</v>
      </c>
      <c r="AB89" s="4">
        <v>36030312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7"/>
  <sheetViews>
    <sheetView topLeftCell="A5" workbookViewId="0">
      <selection sqref="A1:C1"/>
    </sheetView>
  </sheetViews>
  <sheetFormatPr defaultColWidth="12.6640625" defaultRowHeight="15.75" customHeight="1"/>
  <cols>
    <col min="4" max="4" width="21.88671875" customWidth="1"/>
    <col min="6" max="6" width="22.44140625" customWidth="1"/>
    <col min="7" max="7" width="20.109375" customWidth="1"/>
    <col min="8" max="8" width="23.21875" customWidth="1"/>
    <col min="10" max="10" width="19.6640625" customWidth="1"/>
    <col min="11" max="11" width="15.33203125" customWidth="1"/>
    <col min="12" max="12" width="20.44140625" customWidth="1"/>
    <col min="14" max="14" width="18" customWidth="1"/>
    <col min="16" max="16" width="20.33203125" customWidth="1"/>
    <col min="17" max="17" width="14" customWidth="1"/>
    <col min="20" max="20" width="20.6640625" customWidth="1"/>
    <col min="21" max="21" width="16.77734375" customWidth="1"/>
    <col min="22" max="22" width="23.77734375" customWidth="1"/>
    <col min="23" max="23" width="14.6640625" customWidth="1"/>
    <col min="24" max="24" width="23.6640625" customWidth="1"/>
    <col min="25" max="25" width="17.33203125" customWidth="1"/>
    <col min="26" max="26" width="22.33203125" customWidth="1"/>
    <col min="28" max="28" width="23.77734375" customWidth="1"/>
  </cols>
  <sheetData>
    <row r="1" spans="1:28" ht="13.2">
      <c r="A1" s="16" t="s">
        <v>116</v>
      </c>
      <c r="B1" s="17"/>
      <c r="C1" s="1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13.2">
      <c r="A2" s="7" t="s">
        <v>117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3.2">
      <c r="A3" s="8" t="s">
        <v>118</v>
      </c>
      <c r="B3" s="8"/>
      <c r="C3" s="8" t="s">
        <v>119</v>
      </c>
      <c r="D3" s="8" t="s">
        <v>120</v>
      </c>
      <c r="E3" s="8" t="s">
        <v>121</v>
      </c>
      <c r="F3" s="8" t="s">
        <v>122</v>
      </c>
      <c r="G3" s="8" t="s">
        <v>123</v>
      </c>
      <c r="H3" s="8" t="s">
        <v>124</v>
      </c>
      <c r="I3" s="8" t="s">
        <v>125</v>
      </c>
      <c r="J3" s="8" t="s">
        <v>126</v>
      </c>
      <c r="K3" s="8" t="s">
        <v>127</v>
      </c>
      <c r="L3" s="8" t="s">
        <v>128</v>
      </c>
      <c r="M3" s="8" t="s">
        <v>129</v>
      </c>
      <c r="N3" s="8" t="s">
        <v>130</v>
      </c>
      <c r="O3" s="8" t="s">
        <v>131</v>
      </c>
      <c r="P3" s="8" t="s">
        <v>132</v>
      </c>
      <c r="Q3" s="8" t="s">
        <v>133</v>
      </c>
      <c r="R3" s="8" t="s">
        <v>134</v>
      </c>
      <c r="S3" s="8" t="s">
        <v>135</v>
      </c>
      <c r="T3" s="8" t="s">
        <v>136</v>
      </c>
      <c r="U3" s="8" t="s">
        <v>137</v>
      </c>
      <c r="V3" s="8" t="s">
        <v>138</v>
      </c>
      <c r="W3" s="8" t="s">
        <v>139</v>
      </c>
      <c r="X3" s="8" t="s">
        <v>140</v>
      </c>
      <c r="Y3" s="8" t="s">
        <v>141</v>
      </c>
      <c r="Z3" s="8" t="s">
        <v>142</v>
      </c>
      <c r="AA3" s="8" t="s">
        <v>143</v>
      </c>
      <c r="AB3" s="8" t="s">
        <v>144</v>
      </c>
    </row>
    <row r="4" spans="1:28" ht="13.2">
      <c r="A4" s="9" t="s">
        <v>145</v>
      </c>
      <c r="B4" s="9"/>
      <c r="C4" s="5">
        <f>AVERAGE('Кредиты физ лицам 2025 год по м'!C2:C88)</f>
        <v>275057.75862068968</v>
      </c>
      <c r="D4" s="5">
        <f>AVERAGE('Кредиты физ лицам 2025 год по м'!D2:D88)</f>
        <v>5080463</v>
      </c>
      <c r="E4" s="5">
        <f>AVERAGE('Кредиты физ лицам 2025 год по м'!E2:E88)</f>
        <v>16609.045977011494</v>
      </c>
      <c r="F4" s="5">
        <f>AVERAGE('Кредиты физ лицам 2025 год по м'!F2:F88)</f>
        <v>419382.091954023</v>
      </c>
      <c r="G4" s="5">
        <f>AVERAGE('Кредиты физ лицам 2025 год по м'!G2:G88)</f>
        <v>17859.068965517243</v>
      </c>
      <c r="H4" s="5">
        <f>AVERAGE('Кредиты физ лицам 2025 год по м'!H2:H88)</f>
        <v>418050.63218390802</v>
      </c>
      <c r="I4" s="5">
        <f>AVERAGE('Кредиты физ лицам 2025 год по м'!I2:I88)</f>
        <v>20427.724137931036</v>
      </c>
      <c r="J4" s="5">
        <f>AVERAGE('Кредиты физ лицам 2025 год по м'!J2:J88)</f>
        <v>417971.22988505749</v>
      </c>
      <c r="K4" s="5">
        <f>AVERAGE('Кредиты физ лицам 2025 год по м'!K2:K88)</f>
        <v>20601.528735632182</v>
      </c>
      <c r="L4" s="5">
        <f>AVERAGE('Кредиты физ лицам 2025 год по м'!L2:L88)</f>
        <v>418361.02298850572</v>
      </c>
      <c r="M4" s="5">
        <f>AVERAGE('Кредиты физ лицам 2025 год по м'!M2:M88)</f>
        <v>21141.206896551725</v>
      </c>
      <c r="N4" s="5">
        <f>AVERAGE('Кредиты физ лицам 2025 год по м'!N2:N88)</f>
        <v>419928.31034482759</v>
      </c>
      <c r="O4" s="5">
        <f>AVERAGE('Кредиты физ лицам 2025 год по м'!O2:O88)</f>
        <v>21796.42528735632</v>
      </c>
      <c r="P4" s="5">
        <f>AVERAGE('Кредиты физ лицам 2025 год по м'!P2:P88)</f>
        <v>420196.0459770115</v>
      </c>
      <c r="Q4" s="5">
        <f>AVERAGE('Кредиты физ лицам 2025 год по м'!Q2:Q88)</f>
        <v>23681.827586206895</v>
      </c>
      <c r="R4" s="5">
        <f>AVERAGE('Кредиты физ лицам 2025 год по м'!R2:R88)</f>
        <v>419631.77011494251</v>
      </c>
      <c r="S4" s="5">
        <f>AVERAGE('Кредиты физ лицам 2025 год по м'!S2:S88)</f>
        <v>25058.96551724138</v>
      </c>
      <c r="T4" s="5">
        <f>AVERAGE('Кредиты физ лицам 2025 год по м'!T2:T88)</f>
        <v>423504.96551724139</v>
      </c>
      <c r="U4" s="5">
        <f>AVERAGE('Кредиты физ лицам 2025 год по м'!U2:U88)</f>
        <v>24498.172413793105</v>
      </c>
      <c r="V4" s="5">
        <f>AVERAGE('Кредиты физ лицам 2025 год по м'!V2:V88)</f>
        <v>426246.27586206899</v>
      </c>
      <c r="W4" s="5">
        <f>AVERAGE('Кредиты физ лицам 2025 год по м'!W2:W88)</f>
        <v>26635.264367816093</v>
      </c>
      <c r="X4" s="5">
        <f>AVERAGE('Кредиты физ лицам 2025 год по м'!X2:X88)</f>
        <v>430095.5632183908</v>
      </c>
      <c r="Y4" s="5">
        <f>AVERAGE('Кредиты физ лицам 2025 год по м'!Y2:Y88)</f>
        <v>26025.356321839081</v>
      </c>
      <c r="Z4" s="5">
        <f>AVERAGE('Кредиты физ лицам 2025 год по м'!Z2:Z88)</f>
        <v>432572.5172413793</v>
      </c>
      <c r="AA4" s="5">
        <f>AVERAGE('Кредиты физ лицам 2025 год по м'!AA2:AA88)</f>
        <v>30723.172413793105</v>
      </c>
      <c r="AB4" s="5">
        <f>AVERAGE('Кредиты физ лицам 2025 год по м'!AB2:AB88)</f>
        <v>434522.57471264369</v>
      </c>
    </row>
    <row r="5" spans="1:28" ht="13.2">
      <c r="A5" s="9" t="s">
        <v>146</v>
      </c>
      <c r="B5" s="9"/>
      <c r="C5" s="5">
        <f>MEDIAN('Кредиты физ лицам 2025 год по м'!C2:C88)</f>
        <v>154469</v>
      </c>
      <c r="D5" s="5">
        <f>MEDIAN('Кредиты физ лицам 2025 год по м'!D2:D88)</f>
        <v>2753740</v>
      </c>
      <c r="E5" s="5">
        <f>MEDIAN('Кредиты физ лицам 2025 год по м'!E2:E88)</f>
        <v>9245</v>
      </c>
      <c r="F5" s="5">
        <f>MEDIAN('Кредиты физ лицам 2025 год по м'!F2:F88)</f>
        <v>227593</v>
      </c>
      <c r="G5" s="5">
        <f>MEDIAN('Кредиты физ лицам 2025 год по м'!G2:G88)</f>
        <v>10035</v>
      </c>
      <c r="H5" s="5">
        <f>MEDIAN('Кредиты физ лицам 2025 год по м'!H2:H88)</f>
        <v>226787</v>
      </c>
      <c r="I5" s="5">
        <f>MEDIAN('Кредиты физ лицам 2025 год по м'!I2:I88)</f>
        <v>11446</v>
      </c>
      <c r="J5" s="5">
        <f>MEDIAN('Кредиты физ лицам 2025 год по м'!J2:J88)</f>
        <v>226599</v>
      </c>
      <c r="K5" s="5">
        <f>MEDIAN('Кредиты физ лицам 2025 год по м'!K2:K88)</f>
        <v>11505</v>
      </c>
      <c r="L5" s="5">
        <f>MEDIAN('Кредиты физ лицам 2025 год по м'!L2:L88)</f>
        <v>226585</v>
      </c>
      <c r="M5" s="5">
        <f>MEDIAN('Кредиты физ лицам 2025 год по м'!M2:M88)</f>
        <v>11972</v>
      </c>
      <c r="N5" s="5">
        <f>MEDIAN('Кредиты физ лицам 2025 год по м'!N2:N88)</f>
        <v>227370</v>
      </c>
      <c r="O5" s="5">
        <f>MEDIAN('Кредиты физ лицам 2025 год по м'!O2:O88)</f>
        <v>12448</v>
      </c>
      <c r="P5" s="5">
        <f>MEDIAN('Кредиты физ лицам 2025 год по м'!P2:P88)</f>
        <v>227393</v>
      </c>
      <c r="Q5" s="5">
        <f>MEDIAN('Кредиты физ лицам 2025 год по м'!Q2:Q88)</f>
        <v>13642</v>
      </c>
      <c r="R5" s="5">
        <f>MEDIAN('Кредиты физ лицам 2025 год по м'!R2:R88)</f>
        <v>227203</v>
      </c>
      <c r="S5" s="5">
        <f>MEDIAN('Кредиты физ лицам 2025 год по м'!S2:S88)</f>
        <v>14332</v>
      </c>
      <c r="T5" s="5">
        <f>MEDIAN('Кредиты физ лицам 2025 год по м'!T2:T88)</f>
        <v>229432</v>
      </c>
      <c r="U5" s="5">
        <f>MEDIAN('Кредиты физ лицам 2025 год по м'!U2:U88)</f>
        <v>13749</v>
      </c>
      <c r="V5" s="5">
        <f>MEDIAN('Кредиты физ лицам 2025 год по м'!V2:V88)</f>
        <v>230834</v>
      </c>
      <c r="W5" s="5">
        <f>MEDIAN('Кредиты физ лицам 2025 год по м'!W2:W88)</f>
        <v>14803</v>
      </c>
      <c r="X5" s="5">
        <f>MEDIAN('Кредиты физ лицам 2025 год по м'!X2:X88)</f>
        <v>232854</v>
      </c>
      <c r="Y5" s="5">
        <f>MEDIAN('Кредиты физ лицам 2025 год по м'!Y2:Y88)</f>
        <v>14463</v>
      </c>
      <c r="Z5" s="5">
        <f>MEDIAN('Кредиты физ лицам 2025 год по м'!Z2:Z88)</f>
        <v>234681</v>
      </c>
      <c r="AA5" s="5">
        <f>MEDIAN('Кредиты физ лицам 2025 год по м'!AA2:AA88)</f>
        <v>17305</v>
      </c>
      <c r="AB5" s="5">
        <f>MEDIAN('Кредиты физ лицам 2025 год по м'!AB2:AB88)</f>
        <v>236726</v>
      </c>
    </row>
    <row r="6" spans="1:28" ht="13.2">
      <c r="A6" s="9" t="s">
        <v>147</v>
      </c>
      <c r="B6" s="9"/>
      <c r="C6" s="10" t="str">
        <f>IFERROR(MODE('Кредиты физ лицам 2025 год по м'!C2:C88),"Значения не повторяются")</f>
        <v>Значения не повторяются</v>
      </c>
      <c r="D6" s="10" t="str">
        <f>IFERROR(MODE('Кредиты физ лицам 2025 год по м'!D2:D88),"Значения не повторяются")</f>
        <v>Значения не повторяются</v>
      </c>
      <c r="E6" s="10" t="str">
        <f>IFERROR(MODE('Кредиты физ лицам 2025 год по м'!E2:E88),"Значения не повторяются")</f>
        <v>Значения не повторяются</v>
      </c>
      <c r="F6" s="10" t="str">
        <f>IFERROR(MODE('Кредиты физ лицам 2025 год по м'!F2:F88),"Значения не повторяются")</f>
        <v>Значения не повторяются</v>
      </c>
      <c r="G6" s="10" t="str">
        <f>IFERROR(MODE('Кредиты физ лицам 2025 год по м'!G2:G88),"Значения не повторяются")</f>
        <v>Значения не повторяются</v>
      </c>
      <c r="H6" s="10" t="str">
        <f>IFERROR(MODE('Кредиты физ лицам 2025 год по м'!H2:H88),"Значения не повторяются")</f>
        <v>Значения не повторяются</v>
      </c>
      <c r="I6" s="10" t="str">
        <f>IFERROR(MODE('Кредиты физ лицам 2025 год по м'!I2:I88),"Значения не повторяются")</f>
        <v>Значения не повторяются</v>
      </c>
      <c r="J6" s="10" t="str">
        <f>IFERROR(MODE('Кредиты физ лицам 2025 год по м'!J2:J88),"Значения не повторяются")</f>
        <v>Значения не повторяются</v>
      </c>
      <c r="K6" s="10" t="str">
        <f>IFERROR(MODE('Кредиты физ лицам 2025 год по м'!K2:K88),"Значения не повторяются")</f>
        <v>Значения не повторяются</v>
      </c>
      <c r="L6" s="10" t="str">
        <f>IFERROR(MODE('Кредиты физ лицам 2025 год по м'!L2:L88),"Значения не повторяются")</f>
        <v>Значения не повторяются</v>
      </c>
      <c r="M6" s="10" t="str">
        <f>IFERROR(MODE('Кредиты физ лицам 2025 год по м'!M2:M88),"Значения не повторяются")</f>
        <v>Значения не повторяются</v>
      </c>
      <c r="N6" s="10" t="str">
        <f>IFERROR(MODE('Кредиты физ лицам 2025 год по м'!N2:N88),"Значения не повторяются")</f>
        <v>Значения не повторяются</v>
      </c>
      <c r="O6" s="10" t="str">
        <f>IFERROR(MODE('Кредиты физ лицам 2025 год по м'!O2:O88),"Значения не повторяются")</f>
        <v>Значения не повторяются</v>
      </c>
      <c r="P6" s="10" t="str">
        <f>IFERROR(MODE('Кредиты физ лицам 2025 год по м'!P2:P88),"Значения не повторяются")</f>
        <v>Значения не повторяются</v>
      </c>
      <c r="Q6" s="10" t="str">
        <f>IFERROR(MODE('Кредиты физ лицам 2025 год по м'!Q2:Q88),"Значения не повторяются")</f>
        <v>Значения не повторяются</v>
      </c>
      <c r="R6" s="10" t="str">
        <f>IFERROR(MODE('Кредиты физ лицам 2025 год по м'!R2:R88),"Значения не повторяются")</f>
        <v>Значения не повторяются</v>
      </c>
      <c r="S6" s="10" t="str">
        <f>IFERROR(MODE('Кредиты физ лицам 2025 год по м'!S2:S88),"Значения не повторяются")</f>
        <v>Значения не повторяются</v>
      </c>
      <c r="T6" s="10" t="str">
        <f>IFERROR(MODE('Кредиты физ лицам 2025 год по м'!T2:T88),"Значения не повторяются")</f>
        <v>Значения не повторяются</v>
      </c>
      <c r="U6" s="10" t="str">
        <f>IFERROR(MODE('Кредиты физ лицам 2025 год по м'!U2:U88),"Значения не повторяются")</f>
        <v>Значения не повторяются</v>
      </c>
      <c r="V6" s="10" t="str">
        <f>IFERROR(MODE('Кредиты физ лицам 2025 год по м'!V2:V88),"Значения не повторяются")</f>
        <v>Значения не повторяются</v>
      </c>
      <c r="W6" s="10" t="str">
        <f>IFERROR(MODE('Кредиты физ лицам 2025 год по м'!W2:W88),"Значения не повторяются")</f>
        <v>Значения не повторяются</v>
      </c>
      <c r="X6" s="10" t="str">
        <f>IFERROR(MODE('Кредиты физ лицам 2025 год по м'!X2:X88),"Значения не повторяются")</f>
        <v>Значения не повторяются</v>
      </c>
      <c r="Y6" s="10" t="str">
        <f>IFERROR(MODE('Кредиты физ лицам 2025 год по м'!Y2:Y88),"Значения не повторяются")</f>
        <v>Значения не повторяются</v>
      </c>
      <c r="Z6" s="10" t="str">
        <f>IFERROR(MODE('Кредиты физ лицам 2025 год по м'!Z2:Z88),"Значения не повторяются")</f>
        <v>Значения не повторяются</v>
      </c>
      <c r="AA6" s="10" t="str">
        <f>IFERROR(MODE('Кредиты физ лицам 2025 год по м'!AA2:AA88),"Значения не повторяются")</f>
        <v>Значения не повторяются</v>
      </c>
      <c r="AB6" s="10" t="str">
        <f>IFERROR(MODE('Кредиты физ лицам 2025 год по м'!AB2:AB88),"Значения не повторяются")</f>
        <v>Значения не повторяются</v>
      </c>
    </row>
    <row r="7" spans="1:28" ht="13.2">
      <c r="A7" s="9" t="s">
        <v>148</v>
      </c>
      <c r="C7" s="5">
        <f>MIN('Кредиты физ лицам 2025 год по м'!C2:C88)</f>
        <v>6841</v>
      </c>
      <c r="D7" s="5">
        <f>MIN('Кредиты физ лицам 2025 год по м'!D2:D88)</f>
        <v>145427</v>
      </c>
      <c r="E7" s="5">
        <f>MIN('Кредиты физ лицам 2025 год по м'!E2:E88)</f>
        <v>382</v>
      </c>
      <c r="F7" s="5">
        <f>MIN('Кредиты физ лицам 2025 год по м'!F2:F88)</f>
        <v>12252</v>
      </c>
      <c r="G7" s="5">
        <f>MIN('Кредиты физ лицам 2025 год по м'!G2:G88)</f>
        <v>423</v>
      </c>
      <c r="H7" s="5">
        <f>MIN('Кредиты физ лицам 2025 год по м'!H2:H88)</f>
        <v>12180</v>
      </c>
      <c r="I7" s="5">
        <f>MIN('Кредиты физ лицам 2025 год по м'!I2:I88)</f>
        <v>512</v>
      </c>
      <c r="J7" s="5">
        <f>MIN('Кредиты физ лицам 2025 год по м'!J2:J88)</f>
        <v>12143</v>
      </c>
      <c r="K7" s="5">
        <f>MIN('Кредиты физ лицам 2025 год по м'!K2:K88)</f>
        <v>489</v>
      </c>
      <c r="L7" s="5">
        <f>MIN('Кредиты физ лицам 2025 год по м'!L2:L88)</f>
        <v>12077</v>
      </c>
      <c r="M7" s="5">
        <f>MIN('Кредиты физ лицам 2025 год по м'!M2:M88)</f>
        <v>469</v>
      </c>
      <c r="N7" s="5">
        <f>MIN('Кредиты физ лицам 2025 год по м'!N2:N88)</f>
        <v>12019</v>
      </c>
      <c r="O7" s="5">
        <f>MIN('Кредиты физ лицам 2025 год по м'!O2:O88)</f>
        <v>594</v>
      </c>
      <c r="P7" s="5">
        <f>MIN('Кредиты физ лицам 2025 год по м'!P2:P88)</f>
        <v>12003</v>
      </c>
      <c r="Q7" s="5">
        <f>MIN('Кредиты физ лицам 2025 год по м'!Q2:Q88)</f>
        <v>656</v>
      </c>
      <c r="R7" s="5">
        <f>MIN('Кредиты физ лицам 2025 год по м'!R2:R88)</f>
        <v>12011</v>
      </c>
      <c r="S7" s="5">
        <f>MIN('Кредиты физ лицам 2025 год по м'!S2:S88)</f>
        <v>680</v>
      </c>
      <c r="T7" s="5">
        <f>MIN('Кредиты физ лицам 2025 год по м'!T2:T88)</f>
        <v>12102</v>
      </c>
      <c r="U7" s="5">
        <f>MIN('Кредиты физ лицам 2025 год по м'!U2:U88)</f>
        <v>654</v>
      </c>
      <c r="V7" s="5">
        <f>MIN('Кредиты физ лицам 2025 год по м'!V2:V88)</f>
        <v>12165</v>
      </c>
      <c r="W7" s="5">
        <f>MIN('Кредиты физ лицам 2025 год по м'!W2:W88)</f>
        <v>643</v>
      </c>
      <c r="X7" s="5">
        <f>MIN('Кредиты физ лицам 2025 год по м'!X2:X88)</f>
        <v>12197</v>
      </c>
      <c r="Y7" s="5">
        <f>MIN('Кредиты физ лицам 2025 год по м'!Y2:Y88)</f>
        <v>602</v>
      </c>
      <c r="Z7" s="5">
        <f>MIN('Кредиты физ лицам 2025 год по м'!Z2:Z88)</f>
        <v>12165</v>
      </c>
      <c r="AA7" s="5">
        <f>MIN('Кредиты физ лицам 2025 год по м'!AA2:AA88)</f>
        <v>737</v>
      </c>
      <c r="AB7" s="5">
        <f>MIN('Кредиты физ лицам 2025 год по м'!AB2:AB88)</f>
        <v>12113</v>
      </c>
    </row>
    <row r="8" spans="1:28" ht="13.2">
      <c r="A8" s="9" t="s">
        <v>149</v>
      </c>
      <c r="C8" s="5">
        <f>MAX('Кредиты физ лицам 2025 год по м'!C2:C88)</f>
        <v>3007763</v>
      </c>
      <c r="D8" s="5">
        <f>MAX('Кредиты физ лицам 2025 год по м'!D2:D88)</f>
        <v>51422135</v>
      </c>
      <c r="E8" s="5">
        <f>MAX('Кредиты физ лицам 2025 год по м'!E2:E88)</f>
        <v>186725</v>
      </c>
      <c r="F8" s="5">
        <f>MAX('Кредиты физ лицам 2025 год по м'!F2:F88)</f>
        <v>4208666</v>
      </c>
      <c r="G8" s="5">
        <f>MAX('Кредиты физ лицам 2025 год по м'!G2:G88)</f>
        <v>205325</v>
      </c>
      <c r="H8" s="5">
        <f>MAX('Кредиты физ лицам 2025 год по м'!H2:H88)</f>
        <v>4209311</v>
      </c>
      <c r="I8" s="5">
        <f>MAX('Кредиты физ лицам 2025 год по м'!I2:I88)</f>
        <v>232037</v>
      </c>
      <c r="J8" s="5">
        <f>MAX('Кредиты физ лицам 2025 год по м'!J2:J88)</f>
        <v>4218232</v>
      </c>
      <c r="K8" s="5">
        <f>MAX('Кредиты физ лицам 2025 год по м'!K2:K88)</f>
        <v>231562</v>
      </c>
      <c r="L8" s="5">
        <f>MAX('Кредиты физ лицам 2025 год по м'!L2:L88)</f>
        <v>4223317</v>
      </c>
      <c r="M8" s="5">
        <f>MAX('Кредиты физ лицам 2025 год по м'!M2:M88)</f>
        <v>230539</v>
      </c>
      <c r="N8" s="5">
        <f>MAX('Кредиты физ лицам 2025 год по м'!N2:N88)</f>
        <v>4239331</v>
      </c>
      <c r="O8" s="5">
        <f>MAX('Кредиты физ лицам 2025 год по м'!O2:O88)</f>
        <v>235787</v>
      </c>
      <c r="P8" s="5">
        <f>MAX('Кредиты физ лицам 2025 год по м'!P2:P88)</f>
        <v>4248421</v>
      </c>
      <c r="Q8" s="5">
        <f>MAX('Кредиты физ лицам 2025 год по м'!Q2:Q88)</f>
        <v>252022</v>
      </c>
      <c r="R8" s="5">
        <f>MAX('Кредиты физ лицам 2025 год по м'!R2:R88)</f>
        <v>4265347</v>
      </c>
      <c r="S8" s="5">
        <f>MAX('Кредиты физ лицам 2025 год по м'!S2:S88)</f>
        <v>264348</v>
      </c>
      <c r="T8" s="5">
        <f>MAX('Кредиты физ лицам 2025 год по м'!T2:T88)</f>
        <v>4295817</v>
      </c>
      <c r="U8" s="5">
        <f>MAX('Кредиты физ лицам 2025 год по м'!U2:U88)</f>
        <v>269103</v>
      </c>
      <c r="V8" s="5">
        <f>MAX('Кредиты физ лицам 2025 год по м'!V2:V88)</f>
        <v>4333273</v>
      </c>
      <c r="W8" s="5">
        <f>MAX('Кредиты физ лицам 2025 год по м'!W2:W88)</f>
        <v>284678</v>
      </c>
      <c r="X8" s="5">
        <f>MAX('Кредиты физ лицам 2025 год по м'!X2:X88)</f>
        <v>4370468</v>
      </c>
      <c r="Y8" s="5">
        <f>MAX('Кредиты физ лицам 2025 год по м'!Y2:Y88)</f>
        <v>288975</v>
      </c>
      <c r="Z8" s="5">
        <f>MAX('Кредиты физ лицам 2025 год по м'!Z2:Z88)</f>
        <v>4400824</v>
      </c>
      <c r="AA8" s="5">
        <f>MAX('Кредиты физ лицам 2025 год по м'!AA2:AA88)</f>
        <v>326662</v>
      </c>
      <c r="AB8" s="5">
        <f>MAX('Кредиты физ лицам 2025 год по м'!AB2:AB88)</f>
        <v>4409128</v>
      </c>
    </row>
    <row r="9" spans="1:28" ht="65.25" customHeight="1">
      <c r="A9" s="18" t="s">
        <v>150</v>
      </c>
      <c r="B9" s="17"/>
      <c r="C9" s="17"/>
      <c r="D9" s="17"/>
      <c r="E9" s="17"/>
      <c r="F9" s="17"/>
      <c r="G9" s="17"/>
      <c r="H9" s="17"/>
    </row>
    <row r="10" spans="1:28" ht="13.2">
      <c r="A10" s="9"/>
      <c r="B10" s="9"/>
    </row>
    <row r="11" spans="1:28" ht="13.2">
      <c r="A11" s="9" t="s">
        <v>151</v>
      </c>
      <c r="B11" s="9"/>
    </row>
    <row r="12" spans="1:28" ht="13.2">
      <c r="A12" s="8" t="s">
        <v>152</v>
      </c>
      <c r="C12" s="8" t="s">
        <v>153</v>
      </c>
    </row>
    <row r="13" spans="1:28" ht="13.2">
      <c r="A13" s="10" t="s">
        <v>28</v>
      </c>
      <c r="B13" s="10">
        <v>3007763</v>
      </c>
      <c r="C13" s="10" t="s">
        <v>28</v>
      </c>
      <c r="D13" s="10">
        <v>51422135</v>
      </c>
    </row>
    <row r="14" spans="1:28" ht="13.2">
      <c r="A14" s="10" t="s">
        <v>29</v>
      </c>
      <c r="B14" s="10">
        <v>1804595</v>
      </c>
      <c r="C14" s="10" t="s">
        <v>29</v>
      </c>
      <c r="D14" s="10">
        <v>34616205</v>
      </c>
    </row>
    <row r="15" spans="1:28" ht="13.2">
      <c r="A15" s="10" t="s">
        <v>30</v>
      </c>
      <c r="B15" s="10">
        <v>1260287</v>
      </c>
      <c r="C15" s="10" t="s">
        <v>30</v>
      </c>
      <c r="D15" s="10">
        <v>22320395</v>
      </c>
    </row>
    <row r="16" spans="1:28" ht="13.2">
      <c r="A16" s="10" t="s">
        <v>31</v>
      </c>
      <c r="B16" s="10">
        <v>950912</v>
      </c>
      <c r="C16" s="10" t="s">
        <v>31</v>
      </c>
      <c r="D16" s="10">
        <v>18679592</v>
      </c>
    </row>
    <row r="17" spans="1:8" ht="13.2">
      <c r="A17" s="10" t="s">
        <v>32</v>
      </c>
      <c r="B17" s="10">
        <v>834483</v>
      </c>
      <c r="C17" s="10" t="s">
        <v>32</v>
      </c>
      <c r="D17" s="10">
        <v>17587655</v>
      </c>
    </row>
    <row r="18" spans="1:8" ht="33" customHeight="1">
      <c r="A18" s="18" t="s">
        <v>154</v>
      </c>
      <c r="B18" s="17"/>
      <c r="C18" s="17"/>
      <c r="D18" s="17"/>
      <c r="E18" s="17"/>
      <c r="F18" s="17"/>
      <c r="G18" s="17"/>
      <c r="H18" s="17"/>
    </row>
    <row r="20" spans="1:8" ht="13.2">
      <c r="A20" s="9" t="s">
        <v>155</v>
      </c>
      <c r="B20" s="9"/>
    </row>
    <row r="21" spans="1:8" ht="13.2">
      <c r="A21" s="8" t="s">
        <v>152</v>
      </c>
      <c r="C21" s="8" t="s">
        <v>153</v>
      </c>
    </row>
    <row r="22" spans="1:8" ht="13.2">
      <c r="A22" s="10" t="s">
        <v>156</v>
      </c>
      <c r="B22" s="10">
        <v>29337</v>
      </c>
      <c r="C22" s="10" t="s">
        <v>156</v>
      </c>
      <c r="D22" s="10">
        <v>508083</v>
      </c>
    </row>
    <row r="23" spans="1:8" ht="13.2">
      <c r="A23" s="10" t="s">
        <v>113</v>
      </c>
      <c r="B23" s="10">
        <v>17997</v>
      </c>
      <c r="C23" s="10" t="s">
        <v>113</v>
      </c>
      <c r="D23" s="10">
        <v>340084</v>
      </c>
    </row>
    <row r="24" spans="1:8" ht="13.2">
      <c r="A24" s="10" t="s">
        <v>112</v>
      </c>
      <c r="B24" s="10">
        <v>10941</v>
      </c>
      <c r="C24" s="10" t="s">
        <v>112</v>
      </c>
      <c r="D24" s="10">
        <v>240590</v>
      </c>
    </row>
    <row r="25" spans="1:8" ht="13.2">
      <c r="A25" s="10" t="s">
        <v>111</v>
      </c>
      <c r="B25" s="10">
        <v>10785</v>
      </c>
      <c r="C25" s="10" t="s">
        <v>111</v>
      </c>
      <c r="D25" s="10">
        <v>193280</v>
      </c>
    </row>
    <row r="26" spans="1:8" ht="13.2">
      <c r="A26" s="10" t="s">
        <v>110</v>
      </c>
      <c r="B26" s="10">
        <v>6841</v>
      </c>
      <c r="C26" s="10" t="s">
        <v>110</v>
      </c>
      <c r="D26" s="10">
        <v>145427</v>
      </c>
    </row>
    <row r="27" spans="1:8" ht="40.5" customHeight="1">
      <c r="A27" s="18" t="s">
        <v>157</v>
      </c>
      <c r="B27" s="17"/>
      <c r="C27" s="17"/>
      <c r="D27" s="17"/>
      <c r="E27" s="17"/>
      <c r="F27" s="17"/>
      <c r="G27" s="17"/>
      <c r="H27" s="17"/>
    </row>
  </sheetData>
  <mergeCells count="4">
    <mergeCell ref="A1:C1"/>
    <mergeCell ref="A9:H9"/>
    <mergeCell ref="A18:H18"/>
    <mergeCell ref="A27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1"/>
  <sheetViews>
    <sheetView showGridLines="0" workbookViewId="0"/>
  </sheetViews>
  <sheetFormatPr defaultColWidth="12.6640625" defaultRowHeight="15.75" customHeight="1"/>
  <sheetData>
    <row r="1" spans="1:13">
      <c r="A1" s="20"/>
      <c r="B1" s="21" t="s">
        <v>170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>
      <c r="A2" s="21" t="s">
        <v>0</v>
      </c>
      <c r="B2" s="20" t="s">
        <v>171</v>
      </c>
      <c r="C2" s="24" t="s">
        <v>172</v>
      </c>
      <c r="D2" s="24" t="s">
        <v>173</v>
      </c>
      <c r="E2" s="24" t="s">
        <v>174</v>
      </c>
      <c r="F2" s="24" t="s">
        <v>175</v>
      </c>
      <c r="G2" s="24" t="s">
        <v>176</v>
      </c>
      <c r="H2" s="24" t="s">
        <v>177</v>
      </c>
      <c r="I2" s="24" t="s">
        <v>178</v>
      </c>
      <c r="J2" s="24" t="s">
        <v>179</v>
      </c>
      <c r="K2" s="24" t="s">
        <v>180</v>
      </c>
      <c r="L2" s="24" t="s">
        <v>181</v>
      </c>
      <c r="M2" s="25" t="s">
        <v>182</v>
      </c>
    </row>
    <row r="3" spans="1:13">
      <c r="A3" s="26" t="s">
        <v>54</v>
      </c>
      <c r="B3" s="27">
        <v>266068</v>
      </c>
      <c r="C3" s="28">
        <v>17266</v>
      </c>
      <c r="D3" s="28">
        <v>19778</v>
      </c>
      <c r="E3" s="28">
        <v>19963</v>
      </c>
      <c r="F3" s="28">
        <v>20605</v>
      </c>
      <c r="G3" s="28">
        <v>21153</v>
      </c>
      <c r="H3" s="28">
        <v>23697</v>
      </c>
      <c r="I3" s="28">
        <v>24814</v>
      </c>
      <c r="J3" s="28">
        <v>23356</v>
      </c>
      <c r="K3" s="28">
        <v>25340</v>
      </c>
      <c r="L3" s="28">
        <v>24719</v>
      </c>
      <c r="M3" s="29">
        <v>29017</v>
      </c>
    </row>
    <row r="4" spans="1:13">
      <c r="A4" s="30" t="s">
        <v>86</v>
      </c>
      <c r="B4" s="31">
        <v>117080</v>
      </c>
      <c r="C4" s="32">
        <v>7422</v>
      </c>
      <c r="D4" s="32">
        <v>8301</v>
      </c>
      <c r="E4" s="32">
        <v>8766</v>
      </c>
      <c r="F4" s="32">
        <v>9227</v>
      </c>
      <c r="G4" s="32">
        <v>9687</v>
      </c>
      <c r="H4" s="32">
        <v>10731</v>
      </c>
      <c r="I4" s="32">
        <v>11004</v>
      </c>
      <c r="J4" s="32">
        <v>10468</v>
      </c>
      <c r="K4" s="32">
        <v>11355</v>
      </c>
      <c r="L4" s="32">
        <v>10507</v>
      </c>
      <c r="M4" s="33">
        <v>12829</v>
      </c>
    </row>
    <row r="5" spans="1:13">
      <c r="A5" s="30" t="s">
        <v>64</v>
      </c>
      <c r="B5" s="31">
        <v>171042</v>
      </c>
      <c r="C5" s="32">
        <v>10931</v>
      </c>
      <c r="D5" s="32">
        <v>12101</v>
      </c>
      <c r="E5" s="32">
        <v>13089</v>
      </c>
      <c r="F5" s="32">
        <v>13365</v>
      </c>
      <c r="G5" s="32">
        <v>14076</v>
      </c>
      <c r="H5" s="32">
        <v>15095</v>
      </c>
      <c r="I5" s="32">
        <v>15812</v>
      </c>
      <c r="J5" s="32">
        <v>15360</v>
      </c>
      <c r="K5" s="32">
        <v>16609</v>
      </c>
      <c r="L5" s="32">
        <v>15959</v>
      </c>
      <c r="M5" s="33">
        <v>18953</v>
      </c>
    </row>
    <row r="6" spans="1:13">
      <c r="A6" s="30" t="s">
        <v>66</v>
      </c>
      <c r="B6" s="31">
        <v>164201</v>
      </c>
      <c r="C6" s="32">
        <v>10508</v>
      </c>
      <c r="D6" s="32">
        <v>11589</v>
      </c>
      <c r="E6" s="32">
        <v>12600</v>
      </c>
      <c r="F6" s="32">
        <v>12896</v>
      </c>
      <c r="G6" s="32">
        <v>13482</v>
      </c>
      <c r="H6" s="32">
        <v>14439</v>
      </c>
      <c r="I6" s="32">
        <v>15132</v>
      </c>
      <c r="J6" s="32">
        <v>14706</v>
      </c>
      <c r="K6" s="32">
        <v>15966</v>
      </c>
      <c r="L6" s="32">
        <v>15357</v>
      </c>
      <c r="M6" s="33">
        <v>18216</v>
      </c>
    </row>
    <row r="7" spans="1:13">
      <c r="A7" s="30" t="s">
        <v>83</v>
      </c>
      <c r="B7" s="31">
        <v>127386</v>
      </c>
      <c r="C7" s="32">
        <v>7860</v>
      </c>
      <c r="D7" s="32">
        <v>9223</v>
      </c>
      <c r="E7" s="32">
        <v>9022</v>
      </c>
      <c r="F7" s="32">
        <v>10147</v>
      </c>
      <c r="G7" s="32">
        <v>10029</v>
      </c>
      <c r="H7" s="32">
        <v>11077</v>
      </c>
      <c r="I7" s="32">
        <v>11861</v>
      </c>
      <c r="J7" s="32">
        <v>11166</v>
      </c>
      <c r="K7" s="32">
        <v>12633</v>
      </c>
      <c r="L7" s="32">
        <v>11980</v>
      </c>
      <c r="M7" s="33">
        <v>14824</v>
      </c>
    </row>
    <row r="8" spans="1:13">
      <c r="A8" s="30" t="s">
        <v>59</v>
      </c>
      <c r="B8" s="31">
        <v>194701</v>
      </c>
      <c r="C8" s="32">
        <v>12225</v>
      </c>
      <c r="D8" s="32">
        <v>13481</v>
      </c>
      <c r="E8" s="32">
        <v>13989</v>
      </c>
      <c r="F8" s="32">
        <v>14785</v>
      </c>
      <c r="G8" s="32">
        <v>15320</v>
      </c>
      <c r="H8" s="32">
        <v>16988</v>
      </c>
      <c r="I8" s="32">
        <v>17692</v>
      </c>
      <c r="J8" s="32">
        <v>17171</v>
      </c>
      <c r="K8" s="32">
        <v>19380</v>
      </c>
      <c r="L8" s="32">
        <v>19434</v>
      </c>
      <c r="M8" s="33">
        <v>22870</v>
      </c>
    </row>
    <row r="9" spans="1:13">
      <c r="A9" s="30" t="s">
        <v>81</v>
      </c>
      <c r="B9" s="31">
        <v>131571</v>
      </c>
      <c r="C9" s="32">
        <v>8493</v>
      </c>
      <c r="D9" s="32">
        <v>9480</v>
      </c>
      <c r="E9" s="32">
        <v>9593</v>
      </c>
      <c r="F9" s="32">
        <v>10050</v>
      </c>
      <c r="G9" s="32">
        <v>10382</v>
      </c>
      <c r="H9" s="32">
        <v>11331</v>
      </c>
      <c r="I9" s="32">
        <v>12103</v>
      </c>
      <c r="J9" s="32">
        <v>11584</v>
      </c>
      <c r="K9" s="32">
        <v>12948</v>
      </c>
      <c r="L9" s="32">
        <v>12775</v>
      </c>
      <c r="M9" s="33">
        <v>14933</v>
      </c>
    </row>
    <row r="10" spans="1:13">
      <c r="A10" s="30" t="s">
        <v>114</v>
      </c>
      <c r="B10" s="31">
        <v>6841</v>
      </c>
      <c r="C10" s="32">
        <v>423</v>
      </c>
      <c r="D10" s="32">
        <v>512</v>
      </c>
      <c r="E10" s="32">
        <v>489</v>
      </c>
      <c r="F10" s="32">
        <v>469</v>
      </c>
      <c r="G10" s="32">
        <v>594</v>
      </c>
      <c r="H10" s="32">
        <v>656</v>
      </c>
      <c r="I10" s="32">
        <v>680</v>
      </c>
      <c r="J10" s="32">
        <v>654</v>
      </c>
      <c r="K10" s="32">
        <v>643</v>
      </c>
      <c r="L10" s="32">
        <v>602</v>
      </c>
      <c r="M10" s="33">
        <v>737</v>
      </c>
    </row>
    <row r="11" spans="1:13">
      <c r="A11" s="30" t="s">
        <v>44</v>
      </c>
      <c r="B11" s="31">
        <v>356633</v>
      </c>
      <c r="C11" s="32">
        <v>22174</v>
      </c>
      <c r="D11" s="32">
        <v>25675</v>
      </c>
      <c r="E11" s="32">
        <v>29672</v>
      </c>
      <c r="F11" s="32">
        <v>27697</v>
      </c>
      <c r="G11" s="32">
        <v>28414</v>
      </c>
      <c r="H11" s="32">
        <v>31095</v>
      </c>
      <c r="I11" s="32">
        <v>33469</v>
      </c>
      <c r="J11" s="32">
        <v>31641</v>
      </c>
      <c r="K11" s="32">
        <v>34572</v>
      </c>
      <c r="L11" s="32">
        <v>33220</v>
      </c>
      <c r="M11" s="33">
        <v>38643</v>
      </c>
    </row>
    <row r="12" spans="1:13">
      <c r="A12" s="30" t="s">
        <v>80</v>
      </c>
      <c r="B12" s="31">
        <v>132358</v>
      </c>
      <c r="C12" s="32">
        <v>8318</v>
      </c>
      <c r="D12" s="32">
        <v>9103</v>
      </c>
      <c r="E12" s="32">
        <v>9425</v>
      </c>
      <c r="F12" s="32">
        <v>10001</v>
      </c>
      <c r="G12" s="32">
        <v>11065</v>
      </c>
      <c r="H12" s="32">
        <v>12380</v>
      </c>
      <c r="I12" s="32">
        <v>13241</v>
      </c>
      <c r="J12" s="32">
        <v>11750</v>
      </c>
      <c r="K12" s="32">
        <v>12998</v>
      </c>
      <c r="L12" s="32">
        <v>11999</v>
      </c>
      <c r="M12" s="33">
        <v>14295</v>
      </c>
    </row>
    <row r="13" spans="1:13">
      <c r="A13" s="30" t="s">
        <v>65</v>
      </c>
      <c r="B13" s="31">
        <v>165694</v>
      </c>
      <c r="C13" s="32">
        <v>10981</v>
      </c>
      <c r="D13" s="32">
        <v>12451</v>
      </c>
      <c r="E13" s="32">
        <v>12082</v>
      </c>
      <c r="F13" s="32">
        <v>12634</v>
      </c>
      <c r="G13" s="32">
        <v>12960</v>
      </c>
      <c r="H13" s="32">
        <v>14655</v>
      </c>
      <c r="I13" s="32">
        <v>15430</v>
      </c>
      <c r="J13" s="32">
        <v>14921</v>
      </c>
      <c r="K13" s="32">
        <v>16246</v>
      </c>
      <c r="L13" s="32">
        <v>15497</v>
      </c>
      <c r="M13" s="33">
        <v>17778</v>
      </c>
    </row>
    <row r="14" spans="1:13">
      <c r="A14" s="30" t="s">
        <v>51</v>
      </c>
      <c r="B14" s="31">
        <v>287681</v>
      </c>
      <c r="C14" s="32">
        <v>18785</v>
      </c>
      <c r="D14" s="32">
        <v>21741</v>
      </c>
      <c r="E14" s="32">
        <v>21812</v>
      </c>
      <c r="F14" s="32">
        <v>22462</v>
      </c>
      <c r="G14" s="32">
        <v>22495</v>
      </c>
      <c r="H14" s="32">
        <v>24725</v>
      </c>
      <c r="I14" s="32">
        <v>26091</v>
      </c>
      <c r="J14" s="32">
        <v>25196</v>
      </c>
      <c r="K14" s="32">
        <v>27763</v>
      </c>
      <c r="L14" s="32">
        <v>26967</v>
      </c>
      <c r="M14" s="33">
        <v>31422</v>
      </c>
    </row>
    <row r="15" spans="1:13">
      <c r="A15" s="30" t="s">
        <v>70</v>
      </c>
      <c r="B15" s="31">
        <v>156456</v>
      </c>
      <c r="C15" s="32">
        <v>10035</v>
      </c>
      <c r="D15" s="32">
        <v>11293</v>
      </c>
      <c r="E15" s="32">
        <v>11505</v>
      </c>
      <c r="F15" s="32">
        <v>12081</v>
      </c>
      <c r="G15" s="32">
        <v>12466</v>
      </c>
      <c r="H15" s="32">
        <v>13481</v>
      </c>
      <c r="I15" s="32">
        <v>14332</v>
      </c>
      <c r="J15" s="32">
        <v>14112</v>
      </c>
      <c r="K15" s="32">
        <v>15429</v>
      </c>
      <c r="L15" s="32">
        <v>15394</v>
      </c>
      <c r="M15" s="33">
        <v>17047</v>
      </c>
    </row>
    <row r="16" spans="1:13">
      <c r="A16" s="30" t="s">
        <v>49</v>
      </c>
      <c r="B16" s="31">
        <v>300907</v>
      </c>
      <c r="C16" s="32">
        <v>19495</v>
      </c>
      <c r="D16" s="32">
        <v>22411</v>
      </c>
      <c r="E16" s="32">
        <v>22134</v>
      </c>
      <c r="F16" s="32">
        <v>22773</v>
      </c>
      <c r="G16" s="32">
        <v>23821</v>
      </c>
      <c r="H16" s="32">
        <v>26003</v>
      </c>
      <c r="I16" s="32">
        <v>26770</v>
      </c>
      <c r="J16" s="32">
        <v>26440</v>
      </c>
      <c r="K16" s="32">
        <v>28954</v>
      </c>
      <c r="L16" s="32">
        <v>28881</v>
      </c>
      <c r="M16" s="33">
        <v>34891</v>
      </c>
    </row>
    <row r="17" spans="1:13">
      <c r="A17" s="30" t="s">
        <v>28</v>
      </c>
      <c r="B17" s="31">
        <v>3007763</v>
      </c>
      <c r="C17" s="32">
        <v>205325</v>
      </c>
      <c r="D17" s="32">
        <v>232037</v>
      </c>
      <c r="E17" s="32">
        <v>231562</v>
      </c>
      <c r="F17" s="32">
        <v>230539</v>
      </c>
      <c r="G17" s="32">
        <v>235787</v>
      </c>
      <c r="H17" s="32">
        <v>252022</v>
      </c>
      <c r="I17" s="32">
        <v>264348</v>
      </c>
      <c r="J17" s="32">
        <v>269103</v>
      </c>
      <c r="K17" s="32">
        <v>284678</v>
      </c>
      <c r="L17" s="32">
        <v>288975</v>
      </c>
      <c r="M17" s="33">
        <v>326662</v>
      </c>
    </row>
    <row r="18" spans="1:13">
      <c r="A18" s="30" t="s">
        <v>30</v>
      </c>
      <c r="B18" s="31">
        <v>1260287</v>
      </c>
      <c r="C18" s="32">
        <v>82778</v>
      </c>
      <c r="D18" s="32">
        <v>93989</v>
      </c>
      <c r="E18" s="32">
        <v>94296</v>
      </c>
      <c r="F18" s="32">
        <v>96291</v>
      </c>
      <c r="G18" s="32">
        <v>98542</v>
      </c>
      <c r="H18" s="32">
        <v>104593</v>
      </c>
      <c r="I18" s="32">
        <v>111507</v>
      </c>
      <c r="J18" s="32">
        <v>115583</v>
      </c>
      <c r="K18" s="32">
        <v>122128</v>
      </c>
      <c r="L18" s="32">
        <v>120759</v>
      </c>
      <c r="M18" s="33">
        <v>144626</v>
      </c>
    </row>
    <row r="19" spans="1:13">
      <c r="A19" s="30" t="s">
        <v>104</v>
      </c>
      <c r="B19" s="31">
        <v>59445</v>
      </c>
      <c r="C19" s="32">
        <v>4459</v>
      </c>
      <c r="D19" s="32">
        <v>4692</v>
      </c>
      <c r="E19" s="32">
        <v>4467</v>
      </c>
      <c r="F19" s="32">
        <v>4369</v>
      </c>
      <c r="G19" s="32">
        <v>4304</v>
      </c>
      <c r="H19" s="32">
        <v>4777</v>
      </c>
      <c r="I19" s="32">
        <v>4901</v>
      </c>
      <c r="J19" s="32">
        <v>4982</v>
      </c>
      <c r="K19" s="32">
        <v>5631</v>
      </c>
      <c r="L19" s="32">
        <v>5712</v>
      </c>
      <c r="M19" s="33">
        <v>6978</v>
      </c>
    </row>
    <row r="20" spans="1:13">
      <c r="A20" s="30" t="s">
        <v>111</v>
      </c>
      <c r="B20" s="31">
        <v>17997</v>
      </c>
      <c r="C20" s="32">
        <v>1212</v>
      </c>
      <c r="D20" s="32">
        <v>1362</v>
      </c>
      <c r="E20" s="32">
        <v>1365</v>
      </c>
      <c r="F20" s="32">
        <v>1392</v>
      </c>
      <c r="G20" s="32">
        <v>1403</v>
      </c>
      <c r="H20" s="32">
        <v>1636</v>
      </c>
      <c r="I20" s="32">
        <v>1686</v>
      </c>
      <c r="J20" s="32">
        <v>1577</v>
      </c>
      <c r="K20" s="32">
        <v>1710</v>
      </c>
      <c r="L20" s="32">
        <v>1615</v>
      </c>
      <c r="M20" s="33">
        <v>1980</v>
      </c>
    </row>
    <row r="21" spans="1:13">
      <c r="A21" s="30" t="s">
        <v>77</v>
      </c>
      <c r="B21" s="31">
        <v>141607</v>
      </c>
      <c r="C21" s="32">
        <v>8843</v>
      </c>
      <c r="D21" s="32">
        <v>10094</v>
      </c>
      <c r="E21" s="32">
        <v>10635</v>
      </c>
      <c r="F21" s="32">
        <v>10800</v>
      </c>
      <c r="G21" s="32">
        <v>11296</v>
      </c>
      <c r="H21" s="32">
        <v>12698</v>
      </c>
      <c r="I21" s="32">
        <v>13616</v>
      </c>
      <c r="J21" s="32">
        <v>12326</v>
      </c>
      <c r="K21" s="32">
        <v>13936</v>
      </c>
      <c r="L21" s="32">
        <v>12851</v>
      </c>
      <c r="M21" s="33">
        <v>16221</v>
      </c>
    </row>
    <row r="22" spans="1:13">
      <c r="A22" s="30" t="s">
        <v>88</v>
      </c>
      <c r="B22" s="31">
        <v>108135</v>
      </c>
      <c r="C22" s="32">
        <v>7199</v>
      </c>
      <c r="D22" s="32">
        <v>8368</v>
      </c>
      <c r="E22" s="32">
        <v>8049</v>
      </c>
      <c r="F22" s="32">
        <v>8364</v>
      </c>
      <c r="G22" s="32">
        <v>8867</v>
      </c>
      <c r="H22" s="32">
        <v>9296</v>
      </c>
      <c r="I22" s="32">
        <v>9841</v>
      </c>
      <c r="J22" s="32">
        <v>9792</v>
      </c>
      <c r="K22" s="32">
        <v>10357</v>
      </c>
      <c r="L22" s="32">
        <v>10017</v>
      </c>
      <c r="M22" s="33">
        <v>11431</v>
      </c>
    </row>
    <row r="23" spans="1:13">
      <c r="A23" s="30" t="s">
        <v>43</v>
      </c>
      <c r="B23" s="31">
        <v>362780</v>
      </c>
      <c r="C23" s="32">
        <v>23234</v>
      </c>
      <c r="D23" s="32">
        <v>26554</v>
      </c>
      <c r="E23" s="32">
        <v>26933</v>
      </c>
      <c r="F23" s="32">
        <v>28469</v>
      </c>
      <c r="G23" s="32">
        <v>29131</v>
      </c>
      <c r="H23" s="32">
        <v>32180</v>
      </c>
      <c r="I23" s="32">
        <v>34164</v>
      </c>
      <c r="J23" s="32">
        <v>32192</v>
      </c>
      <c r="K23" s="32">
        <v>34966</v>
      </c>
      <c r="L23" s="32">
        <v>33267</v>
      </c>
      <c r="M23" s="33">
        <v>39332</v>
      </c>
    </row>
    <row r="24" spans="1:13">
      <c r="A24" s="30" t="s">
        <v>103</v>
      </c>
      <c r="B24" s="31">
        <v>59834</v>
      </c>
      <c r="C24" s="32">
        <v>3785</v>
      </c>
      <c r="D24" s="32">
        <v>4588</v>
      </c>
      <c r="E24" s="32">
        <v>4552</v>
      </c>
      <c r="F24" s="32">
        <v>4671</v>
      </c>
      <c r="G24" s="32">
        <v>4633</v>
      </c>
      <c r="H24" s="32">
        <v>5157</v>
      </c>
      <c r="I24" s="32">
        <v>5709</v>
      </c>
      <c r="J24" s="32">
        <v>5059</v>
      </c>
      <c r="K24" s="32">
        <v>5464</v>
      </c>
      <c r="L24" s="32">
        <v>5818</v>
      </c>
      <c r="M24" s="33">
        <v>6559</v>
      </c>
    </row>
    <row r="25" spans="1:13">
      <c r="A25" s="30" t="s">
        <v>61</v>
      </c>
      <c r="B25" s="31">
        <v>186914</v>
      </c>
      <c r="C25" s="32">
        <v>12105</v>
      </c>
      <c r="D25" s="32">
        <v>14490</v>
      </c>
      <c r="E25" s="32">
        <v>14210</v>
      </c>
      <c r="F25" s="32">
        <v>14682</v>
      </c>
      <c r="G25" s="32">
        <v>14729</v>
      </c>
      <c r="H25" s="32">
        <v>15694</v>
      </c>
      <c r="I25" s="32">
        <v>16678</v>
      </c>
      <c r="J25" s="32">
        <v>16808</v>
      </c>
      <c r="K25" s="32">
        <v>17876</v>
      </c>
      <c r="L25" s="32">
        <v>17898</v>
      </c>
      <c r="M25" s="33">
        <v>20471</v>
      </c>
    </row>
    <row r="26" spans="1:13">
      <c r="A26" s="30" t="s">
        <v>73</v>
      </c>
      <c r="B26" s="31">
        <v>151712</v>
      </c>
      <c r="C26" s="32">
        <v>9966</v>
      </c>
      <c r="D26" s="32">
        <v>11446</v>
      </c>
      <c r="E26" s="32">
        <v>11604</v>
      </c>
      <c r="F26" s="32">
        <v>11740</v>
      </c>
      <c r="G26" s="32">
        <v>11893</v>
      </c>
      <c r="H26" s="32">
        <v>13323</v>
      </c>
      <c r="I26" s="32">
        <v>13911</v>
      </c>
      <c r="J26" s="32">
        <v>13566</v>
      </c>
      <c r="K26" s="32">
        <v>14803</v>
      </c>
      <c r="L26" s="32">
        <v>14206</v>
      </c>
      <c r="M26" s="33">
        <v>16088</v>
      </c>
    </row>
    <row r="27" spans="1:13">
      <c r="A27" s="30" t="s">
        <v>102</v>
      </c>
      <c r="B27" s="31">
        <v>60737</v>
      </c>
      <c r="C27" s="32">
        <v>3987</v>
      </c>
      <c r="D27" s="32">
        <v>4471</v>
      </c>
      <c r="E27" s="32">
        <v>4509</v>
      </c>
      <c r="F27" s="32">
        <v>4827</v>
      </c>
      <c r="G27" s="32">
        <v>4756</v>
      </c>
      <c r="H27" s="32">
        <v>5427</v>
      </c>
      <c r="I27" s="32">
        <v>5642</v>
      </c>
      <c r="J27" s="32">
        <v>5616</v>
      </c>
      <c r="K27" s="32">
        <v>6026</v>
      </c>
      <c r="L27" s="32">
        <v>5594</v>
      </c>
      <c r="M27" s="33">
        <v>6171</v>
      </c>
    </row>
    <row r="28" spans="1:13">
      <c r="A28" s="30" t="s">
        <v>108</v>
      </c>
      <c r="B28" s="31">
        <v>38345</v>
      </c>
      <c r="C28" s="32">
        <v>2411</v>
      </c>
      <c r="D28" s="32">
        <v>2871</v>
      </c>
      <c r="E28" s="32">
        <v>2870</v>
      </c>
      <c r="F28" s="32">
        <v>2979</v>
      </c>
      <c r="G28" s="32">
        <v>3039</v>
      </c>
      <c r="H28" s="32">
        <v>3330</v>
      </c>
      <c r="I28" s="32">
        <v>3726</v>
      </c>
      <c r="J28" s="32">
        <v>3406</v>
      </c>
      <c r="K28" s="32">
        <v>3647</v>
      </c>
      <c r="L28" s="32">
        <v>3434</v>
      </c>
      <c r="M28" s="33">
        <v>4201</v>
      </c>
    </row>
    <row r="29" spans="1:13">
      <c r="A29" s="30" t="s">
        <v>47</v>
      </c>
      <c r="B29" s="31">
        <v>342277</v>
      </c>
      <c r="C29" s="32">
        <v>22496</v>
      </c>
      <c r="D29" s="32">
        <v>25890</v>
      </c>
      <c r="E29" s="32">
        <v>26335</v>
      </c>
      <c r="F29" s="32">
        <v>26803</v>
      </c>
      <c r="G29" s="32">
        <v>27650</v>
      </c>
      <c r="H29" s="32">
        <v>29728</v>
      </c>
      <c r="I29" s="32">
        <v>32169</v>
      </c>
      <c r="J29" s="32">
        <v>30578</v>
      </c>
      <c r="K29" s="32">
        <v>32651</v>
      </c>
      <c r="L29" s="32">
        <v>31298</v>
      </c>
      <c r="M29" s="33">
        <v>35235</v>
      </c>
    </row>
    <row r="30" spans="1:13">
      <c r="A30" s="30" t="s">
        <v>69</v>
      </c>
      <c r="B30" s="31">
        <v>158642</v>
      </c>
      <c r="C30" s="32">
        <v>10277</v>
      </c>
      <c r="D30" s="32">
        <v>11560</v>
      </c>
      <c r="E30" s="32">
        <v>11773</v>
      </c>
      <c r="F30" s="32">
        <v>11972</v>
      </c>
      <c r="G30" s="32">
        <v>12470</v>
      </c>
      <c r="H30" s="32">
        <v>13642</v>
      </c>
      <c r="I30" s="32">
        <v>14585</v>
      </c>
      <c r="J30" s="32">
        <v>14088</v>
      </c>
      <c r="K30" s="32">
        <v>15463</v>
      </c>
      <c r="L30" s="32">
        <v>15311</v>
      </c>
      <c r="M30" s="33">
        <v>18256</v>
      </c>
    </row>
    <row r="31" spans="1:13">
      <c r="A31" s="30" t="s">
        <v>96</v>
      </c>
      <c r="B31" s="31">
        <v>76421</v>
      </c>
      <c r="C31" s="32">
        <v>4648</v>
      </c>
      <c r="D31" s="32">
        <v>5721</v>
      </c>
      <c r="E31" s="32">
        <v>5330</v>
      </c>
      <c r="F31" s="32">
        <v>5388</v>
      </c>
      <c r="G31" s="32">
        <v>8448</v>
      </c>
      <c r="H31" s="32">
        <v>6117</v>
      </c>
      <c r="I31" s="32">
        <v>6594</v>
      </c>
      <c r="J31" s="32">
        <v>7570</v>
      </c>
      <c r="K31" s="32">
        <v>6837</v>
      </c>
      <c r="L31" s="32">
        <v>6694</v>
      </c>
      <c r="M31" s="33">
        <v>8658</v>
      </c>
    </row>
    <row r="32" spans="1:13">
      <c r="A32" s="30" t="s">
        <v>31</v>
      </c>
      <c r="B32" s="31">
        <v>950912</v>
      </c>
      <c r="C32" s="32">
        <v>62019</v>
      </c>
      <c r="D32" s="32">
        <v>72505</v>
      </c>
      <c r="E32" s="32">
        <v>71303</v>
      </c>
      <c r="F32" s="32">
        <v>72845</v>
      </c>
      <c r="G32" s="32">
        <v>75024</v>
      </c>
      <c r="H32" s="32">
        <v>80938</v>
      </c>
      <c r="I32" s="32">
        <v>84200</v>
      </c>
      <c r="J32" s="32">
        <v>83199</v>
      </c>
      <c r="K32" s="32">
        <v>91344</v>
      </c>
      <c r="L32" s="32">
        <v>89839</v>
      </c>
      <c r="M32" s="33">
        <v>108202</v>
      </c>
    </row>
    <row r="33" spans="1:13">
      <c r="A33" s="30" t="s">
        <v>41</v>
      </c>
      <c r="B33" s="31">
        <v>443731</v>
      </c>
      <c r="C33" s="32">
        <v>28415</v>
      </c>
      <c r="D33" s="32">
        <v>32732</v>
      </c>
      <c r="E33" s="32">
        <v>33816</v>
      </c>
      <c r="F33" s="32">
        <v>35261</v>
      </c>
      <c r="G33" s="32">
        <v>36222</v>
      </c>
      <c r="H33" s="32">
        <v>38588</v>
      </c>
      <c r="I33" s="32">
        <v>40241</v>
      </c>
      <c r="J33" s="32">
        <v>39261</v>
      </c>
      <c r="K33" s="32">
        <v>42699</v>
      </c>
      <c r="L33" s="32">
        <v>40860</v>
      </c>
      <c r="M33" s="33">
        <v>48443</v>
      </c>
    </row>
    <row r="34" spans="1:13">
      <c r="A34" s="30" t="s">
        <v>90</v>
      </c>
      <c r="B34" s="31">
        <v>100688</v>
      </c>
      <c r="C34" s="32">
        <v>6431</v>
      </c>
      <c r="D34" s="32">
        <v>7338</v>
      </c>
      <c r="E34" s="32">
        <v>7467</v>
      </c>
      <c r="F34" s="32">
        <v>7511</v>
      </c>
      <c r="G34" s="32">
        <v>7909</v>
      </c>
      <c r="H34" s="32">
        <v>8832</v>
      </c>
      <c r="I34" s="32">
        <v>9498</v>
      </c>
      <c r="J34" s="32">
        <v>9053</v>
      </c>
      <c r="K34" s="32">
        <v>9872</v>
      </c>
      <c r="L34" s="32">
        <v>9666</v>
      </c>
      <c r="M34" s="33">
        <v>11275</v>
      </c>
    </row>
    <row r="35" spans="1:13">
      <c r="A35" s="30" t="s">
        <v>82</v>
      </c>
      <c r="B35" s="31">
        <v>131355</v>
      </c>
      <c r="C35" s="32">
        <v>7986</v>
      </c>
      <c r="D35" s="32">
        <v>9153</v>
      </c>
      <c r="E35" s="32">
        <v>9319</v>
      </c>
      <c r="F35" s="32">
        <v>10049</v>
      </c>
      <c r="G35" s="32">
        <v>10361</v>
      </c>
      <c r="H35" s="32">
        <v>11379</v>
      </c>
      <c r="I35" s="32">
        <v>12111</v>
      </c>
      <c r="J35" s="32">
        <v>12024</v>
      </c>
      <c r="K35" s="32">
        <v>13449</v>
      </c>
      <c r="L35" s="32">
        <v>13127</v>
      </c>
      <c r="M35" s="33">
        <v>14889</v>
      </c>
    </row>
    <row r="36" spans="1:13">
      <c r="A36" s="30" t="s">
        <v>45</v>
      </c>
      <c r="B36" s="31">
        <v>354290</v>
      </c>
      <c r="C36" s="32">
        <v>22610</v>
      </c>
      <c r="D36" s="32">
        <v>26212</v>
      </c>
      <c r="E36" s="32">
        <v>26150</v>
      </c>
      <c r="F36" s="32">
        <v>26794</v>
      </c>
      <c r="G36" s="32">
        <v>27967</v>
      </c>
      <c r="H36" s="32">
        <v>29841</v>
      </c>
      <c r="I36" s="32">
        <v>32674</v>
      </c>
      <c r="J36" s="32">
        <v>32344</v>
      </c>
      <c r="K36" s="32">
        <v>34654</v>
      </c>
      <c r="L36" s="32">
        <v>34143</v>
      </c>
      <c r="M36" s="33">
        <v>40161</v>
      </c>
    </row>
    <row r="37" spans="1:13">
      <c r="A37" s="30" t="s">
        <v>78</v>
      </c>
      <c r="B37" s="31">
        <v>138884</v>
      </c>
      <c r="C37" s="32">
        <v>9079</v>
      </c>
      <c r="D37" s="32">
        <v>10319</v>
      </c>
      <c r="E37" s="32">
        <v>10527</v>
      </c>
      <c r="F37" s="32">
        <v>10565</v>
      </c>
      <c r="G37" s="32">
        <v>10899</v>
      </c>
      <c r="H37" s="32">
        <v>11827</v>
      </c>
      <c r="I37" s="32">
        <v>12663</v>
      </c>
      <c r="J37" s="32">
        <v>12487</v>
      </c>
      <c r="K37" s="32">
        <v>13852</v>
      </c>
      <c r="L37" s="32">
        <v>12993</v>
      </c>
      <c r="M37" s="33">
        <v>15065</v>
      </c>
    </row>
    <row r="38" spans="1:13">
      <c r="A38" s="30" t="s">
        <v>109</v>
      </c>
      <c r="B38" s="31">
        <v>30862</v>
      </c>
      <c r="C38" s="32">
        <v>1886</v>
      </c>
      <c r="D38" s="32">
        <v>2127</v>
      </c>
      <c r="E38" s="32">
        <v>2301</v>
      </c>
      <c r="F38" s="32">
        <v>2422</v>
      </c>
      <c r="G38" s="32">
        <v>2560</v>
      </c>
      <c r="H38" s="32">
        <v>2774</v>
      </c>
      <c r="I38" s="32">
        <v>2945</v>
      </c>
      <c r="J38" s="32">
        <v>2818</v>
      </c>
      <c r="K38" s="32">
        <v>3024</v>
      </c>
      <c r="L38" s="32">
        <v>2915</v>
      </c>
      <c r="M38" s="33">
        <v>3238</v>
      </c>
    </row>
    <row r="39" spans="1:13">
      <c r="A39" s="30" t="s">
        <v>29</v>
      </c>
      <c r="B39" s="31">
        <v>1804595</v>
      </c>
      <c r="C39" s="32">
        <v>120510</v>
      </c>
      <c r="D39" s="32">
        <v>136117</v>
      </c>
      <c r="E39" s="32">
        <v>135141</v>
      </c>
      <c r="F39" s="32">
        <v>139810</v>
      </c>
      <c r="G39" s="32">
        <v>141043</v>
      </c>
      <c r="H39" s="32">
        <v>153628</v>
      </c>
      <c r="I39" s="32">
        <v>163586</v>
      </c>
      <c r="J39" s="32">
        <v>161819</v>
      </c>
      <c r="K39" s="32">
        <v>174045</v>
      </c>
      <c r="L39" s="32">
        <v>171036</v>
      </c>
      <c r="M39" s="33">
        <v>196431</v>
      </c>
    </row>
    <row r="40" spans="1:13">
      <c r="A40" s="30" t="s">
        <v>79</v>
      </c>
      <c r="B40" s="31">
        <v>132800</v>
      </c>
      <c r="C40" s="32">
        <v>8242</v>
      </c>
      <c r="D40" s="32">
        <v>9600</v>
      </c>
      <c r="E40" s="32">
        <v>9904</v>
      </c>
      <c r="F40" s="32">
        <v>10467</v>
      </c>
      <c r="G40" s="32">
        <v>10740</v>
      </c>
      <c r="H40" s="32">
        <v>12179</v>
      </c>
      <c r="I40" s="32">
        <v>12906</v>
      </c>
      <c r="J40" s="32">
        <v>12063</v>
      </c>
      <c r="K40" s="32">
        <v>12755</v>
      </c>
      <c r="L40" s="32">
        <v>12105</v>
      </c>
      <c r="M40" s="33">
        <v>13943</v>
      </c>
    </row>
    <row r="41" spans="1:13">
      <c r="A41" s="30" t="s">
        <v>40</v>
      </c>
      <c r="B41" s="31">
        <v>446933</v>
      </c>
      <c r="C41" s="32">
        <v>28862</v>
      </c>
      <c r="D41" s="32">
        <v>32575</v>
      </c>
      <c r="E41" s="32">
        <v>33064</v>
      </c>
      <c r="F41" s="32">
        <v>33324</v>
      </c>
      <c r="G41" s="32">
        <v>35480</v>
      </c>
      <c r="H41" s="32">
        <v>37637</v>
      </c>
      <c r="I41" s="32">
        <v>40994</v>
      </c>
      <c r="J41" s="32">
        <v>40073</v>
      </c>
      <c r="K41" s="32">
        <v>44411</v>
      </c>
      <c r="L41" s="32">
        <v>43144</v>
      </c>
      <c r="M41" s="33">
        <v>49599</v>
      </c>
    </row>
    <row r="42" spans="1:13">
      <c r="A42" s="30" t="s">
        <v>99</v>
      </c>
      <c r="B42" s="31">
        <v>72624</v>
      </c>
      <c r="C42" s="32">
        <v>4731</v>
      </c>
      <c r="D42" s="32">
        <v>5424</v>
      </c>
      <c r="E42" s="32">
        <v>5343</v>
      </c>
      <c r="F42" s="32">
        <v>5455</v>
      </c>
      <c r="G42" s="32">
        <v>5691</v>
      </c>
      <c r="H42" s="32">
        <v>6241</v>
      </c>
      <c r="I42" s="32">
        <v>6829</v>
      </c>
      <c r="J42" s="32">
        <v>6673</v>
      </c>
      <c r="K42" s="32">
        <v>7014</v>
      </c>
      <c r="L42" s="32">
        <v>7115</v>
      </c>
      <c r="M42" s="33">
        <v>7823</v>
      </c>
    </row>
    <row r="43" spans="1:13">
      <c r="A43" s="30" t="s">
        <v>38</v>
      </c>
      <c r="B43" s="31">
        <v>478363</v>
      </c>
      <c r="C43" s="32">
        <v>31224</v>
      </c>
      <c r="D43" s="32">
        <v>36246</v>
      </c>
      <c r="E43" s="32">
        <v>36195</v>
      </c>
      <c r="F43" s="32">
        <v>36900</v>
      </c>
      <c r="G43" s="32">
        <v>38422</v>
      </c>
      <c r="H43" s="32">
        <v>41357</v>
      </c>
      <c r="I43" s="32">
        <v>43659</v>
      </c>
      <c r="J43" s="32">
        <v>41721</v>
      </c>
      <c r="K43" s="32">
        <v>46709</v>
      </c>
      <c r="L43" s="32">
        <v>44379</v>
      </c>
      <c r="M43" s="33">
        <v>52587</v>
      </c>
    </row>
    <row r="44" spans="1:13">
      <c r="A44" s="30" t="s">
        <v>55</v>
      </c>
      <c r="B44" s="31">
        <v>263946</v>
      </c>
      <c r="C44" s="32">
        <v>17581</v>
      </c>
      <c r="D44" s="32">
        <v>20284</v>
      </c>
      <c r="E44" s="32">
        <v>19767</v>
      </c>
      <c r="F44" s="32">
        <v>20362</v>
      </c>
      <c r="G44" s="32">
        <v>20760</v>
      </c>
      <c r="H44" s="32">
        <v>22541</v>
      </c>
      <c r="I44" s="32">
        <v>23681</v>
      </c>
      <c r="J44" s="32">
        <v>23105</v>
      </c>
      <c r="K44" s="32">
        <v>25249</v>
      </c>
      <c r="L44" s="32">
        <v>24775</v>
      </c>
      <c r="M44" s="33">
        <v>29279</v>
      </c>
    </row>
    <row r="45" spans="1:13">
      <c r="A45" s="30" t="s">
        <v>53</v>
      </c>
      <c r="B45" s="31">
        <v>276528</v>
      </c>
      <c r="C45" s="32">
        <v>16889</v>
      </c>
      <c r="D45" s="32">
        <v>19538</v>
      </c>
      <c r="E45" s="32">
        <v>20492</v>
      </c>
      <c r="F45" s="32">
        <v>22920</v>
      </c>
      <c r="G45" s="32">
        <v>23061</v>
      </c>
      <c r="H45" s="32">
        <v>24671</v>
      </c>
      <c r="I45" s="32">
        <v>25447</v>
      </c>
      <c r="J45" s="32">
        <v>24437</v>
      </c>
      <c r="K45" s="32">
        <v>26591</v>
      </c>
      <c r="L45" s="32">
        <v>25570</v>
      </c>
      <c r="M45" s="33">
        <v>30973</v>
      </c>
    </row>
    <row r="46" spans="1:13">
      <c r="A46" s="30" t="s">
        <v>92</v>
      </c>
      <c r="B46" s="31">
        <v>87423</v>
      </c>
      <c r="C46" s="32">
        <v>5763</v>
      </c>
      <c r="D46" s="32">
        <v>6783</v>
      </c>
      <c r="E46" s="32">
        <v>6681</v>
      </c>
      <c r="F46" s="32">
        <v>6774</v>
      </c>
      <c r="G46" s="32">
        <v>6903</v>
      </c>
      <c r="H46" s="32">
        <v>7577</v>
      </c>
      <c r="I46" s="32">
        <v>7561</v>
      </c>
      <c r="J46" s="32">
        <v>7729</v>
      </c>
      <c r="K46" s="32">
        <v>8228</v>
      </c>
      <c r="L46" s="32">
        <v>8265</v>
      </c>
      <c r="M46" s="33">
        <v>9770</v>
      </c>
    </row>
    <row r="47" spans="1:13">
      <c r="A47" s="30" t="s">
        <v>74</v>
      </c>
      <c r="B47" s="31">
        <v>149802</v>
      </c>
      <c r="C47" s="32">
        <v>9795</v>
      </c>
      <c r="D47" s="32">
        <v>11104</v>
      </c>
      <c r="E47" s="32">
        <v>11171</v>
      </c>
      <c r="F47" s="32">
        <v>11482</v>
      </c>
      <c r="G47" s="32">
        <v>12000</v>
      </c>
      <c r="H47" s="32">
        <v>12979</v>
      </c>
      <c r="I47" s="32">
        <v>13261</v>
      </c>
      <c r="J47" s="32">
        <v>13097</v>
      </c>
      <c r="K47" s="32">
        <v>14312</v>
      </c>
      <c r="L47" s="32">
        <v>14463</v>
      </c>
      <c r="M47" s="33">
        <v>17305</v>
      </c>
    </row>
    <row r="48" spans="1:13">
      <c r="A48" s="30" t="s">
        <v>42</v>
      </c>
      <c r="B48" s="31">
        <v>416245</v>
      </c>
      <c r="C48" s="32">
        <v>26188</v>
      </c>
      <c r="D48" s="32">
        <v>30033</v>
      </c>
      <c r="E48" s="32">
        <v>30370</v>
      </c>
      <c r="F48" s="32">
        <v>31920</v>
      </c>
      <c r="G48" s="32">
        <v>32719</v>
      </c>
      <c r="H48" s="32">
        <v>36219</v>
      </c>
      <c r="I48" s="32">
        <v>38811</v>
      </c>
      <c r="J48" s="32">
        <v>37037</v>
      </c>
      <c r="K48" s="32">
        <v>41515</v>
      </c>
      <c r="L48" s="32">
        <v>39598</v>
      </c>
      <c r="M48" s="33">
        <v>47333</v>
      </c>
    </row>
    <row r="49" spans="1:13">
      <c r="A49" s="30" t="s">
        <v>50</v>
      </c>
      <c r="B49" s="31">
        <v>300331</v>
      </c>
      <c r="C49" s="32">
        <v>20380</v>
      </c>
      <c r="D49" s="32">
        <v>23040</v>
      </c>
      <c r="E49" s="32">
        <v>22686</v>
      </c>
      <c r="F49" s="32">
        <v>23395</v>
      </c>
      <c r="G49" s="32">
        <v>24642</v>
      </c>
      <c r="H49" s="32">
        <v>26101</v>
      </c>
      <c r="I49" s="32">
        <v>26523</v>
      </c>
      <c r="J49" s="32">
        <v>26784</v>
      </c>
      <c r="K49" s="32">
        <v>28077</v>
      </c>
      <c r="L49" s="32">
        <v>28054</v>
      </c>
      <c r="M49" s="33">
        <v>32459</v>
      </c>
    </row>
    <row r="50" spans="1:13">
      <c r="A50" s="30" t="s">
        <v>98</v>
      </c>
      <c r="B50" s="31">
        <v>73055</v>
      </c>
      <c r="C50" s="32">
        <v>4811</v>
      </c>
      <c r="D50" s="32">
        <v>5463</v>
      </c>
      <c r="E50" s="32">
        <v>5403</v>
      </c>
      <c r="F50" s="32">
        <v>5665</v>
      </c>
      <c r="G50" s="32">
        <v>5647</v>
      </c>
      <c r="H50" s="32">
        <v>6274</v>
      </c>
      <c r="I50" s="32">
        <v>6655</v>
      </c>
      <c r="J50" s="32">
        <v>6466</v>
      </c>
      <c r="K50" s="32">
        <v>7081</v>
      </c>
      <c r="L50" s="32">
        <v>6859</v>
      </c>
      <c r="M50" s="33">
        <v>8203</v>
      </c>
    </row>
    <row r="51" spans="1:13">
      <c r="A51" s="30" t="s">
        <v>101</v>
      </c>
      <c r="B51" s="31">
        <v>62186</v>
      </c>
      <c r="C51" s="32">
        <v>3843</v>
      </c>
      <c r="D51" s="32">
        <v>4600</v>
      </c>
      <c r="E51" s="32">
        <v>4447</v>
      </c>
      <c r="F51" s="32">
        <v>4589</v>
      </c>
      <c r="G51" s="32">
        <v>5019</v>
      </c>
      <c r="H51" s="32">
        <v>5646</v>
      </c>
      <c r="I51" s="32">
        <v>5569</v>
      </c>
      <c r="J51" s="32">
        <v>5517</v>
      </c>
      <c r="K51" s="32">
        <v>5840</v>
      </c>
      <c r="L51" s="32">
        <v>5694</v>
      </c>
      <c r="M51" s="33">
        <v>7772</v>
      </c>
    </row>
    <row r="52" spans="1:13">
      <c r="A52" s="30" t="s">
        <v>110</v>
      </c>
      <c r="B52" s="31">
        <v>29337</v>
      </c>
      <c r="C52" s="32">
        <v>1842</v>
      </c>
      <c r="D52" s="32">
        <v>2081</v>
      </c>
      <c r="E52" s="32">
        <v>2167</v>
      </c>
      <c r="F52" s="32">
        <v>2228</v>
      </c>
      <c r="G52" s="32">
        <v>3084</v>
      </c>
      <c r="H52" s="32">
        <v>2565</v>
      </c>
      <c r="I52" s="32">
        <v>2711</v>
      </c>
      <c r="J52" s="32">
        <v>2492</v>
      </c>
      <c r="K52" s="32">
        <v>2699</v>
      </c>
      <c r="L52" s="32">
        <v>2717</v>
      </c>
      <c r="M52" s="33">
        <v>3009</v>
      </c>
    </row>
    <row r="53" spans="1:13">
      <c r="A53" s="30" t="s">
        <v>35</v>
      </c>
      <c r="B53" s="31">
        <v>596428</v>
      </c>
      <c r="C53" s="32">
        <v>37233</v>
      </c>
      <c r="D53" s="32">
        <v>42691</v>
      </c>
      <c r="E53" s="32">
        <v>44222</v>
      </c>
      <c r="F53" s="32">
        <v>45119</v>
      </c>
      <c r="G53" s="32">
        <v>46920</v>
      </c>
      <c r="H53" s="32">
        <v>51768</v>
      </c>
      <c r="I53" s="32">
        <v>55642</v>
      </c>
      <c r="J53" s="32">
        <v>52663</v>
      </c>
      <c r="K53" s="32">
        <v>58900</v>
      </c>
      <c r="L53" s="32">
        <v>57004</v>
      </c>
      <c r="M53" s="33">
        <v>70057</v>
      </c>
    </row>
    <row r="54" spans="1:13">
      <c r="A54" s="30" t="s">
        <v>72</v>
      </c>
      <c r="B54" s="31">
        <v>153373</v>
      </c>
      <c r="C54" s="32">
        <v>9882</v>
      </c>
      <c r="D54" s="32">
        <v>11162</v>
      </c>
      <c r="E54" s="32">
        <v>11273</v>
      </c>
      <c r="F54" s="32">
        <v>11721</v>
      </c>
      <c r="G54" s="32">
        <v>12383</v>
      </c>
      <c r="H54" s="32">
        <v>13883</v>
      </c>
      <c r="I54" s="32">
        <v>14580</v>
      </c>
      <c r="J54" s="32">
        <v>13312</v>
      </c>
      <c r="K54" s="32">
        <v>14627</v>
      </c>
      <c r="L54" s="32">
        <v>13964</v>
      </c>
      <c r="M54" s="33">
        <v>17929</v>
      </c>
    </row>
    <row r="55" spans="1:13">
      <c r="A55" s="30" t="s">
        <v>84</v>
      </c>
      <c r="B55" s="31">
        <v>120680</v>
      </c>
      <c r="C55" s="32">
        <v>8745</v>
      </c>
      <c r="D55" s="32">
        <v>9507</v>
      </c>
      <c r="E55" s="32">
        <v>9120</v>
      </c>
      <c r="F55" s="32">
        <v>9546</v>
      </c>
      <c r="G55" s="32">
        <v>9530</v>
      </c>
      <c r="H55" s="32">
        <v>10029</v>
      </c>
      <c r="I55" s="32">
        <v>10629</v>
      </c>
      <c r="J55" s="32">
        <v>10135</v>
      </c>
      <c r="K55" s="32">
        <v>11254</v>
      </c>
      <c r="L55" s="32">
        <v>10634</v>
      </c>
      <c r="M55" s="33">
        <v>12828</v>
      </c>
    </row>
    <row r="56" spans="1:13">
      <c r="A56" s="30" t="s">
        <v>113</v>
      </c>
      <c r="B56" s="31">
        <v>10785</v>
      </c>
      <c r="C56" s="32">
        <v>780</v>
      </c>
      <c r="D56" s="32">
        <v>919</v>
      </c>
      <c r="E56" s="32">
        <v>809</v>
      </c>
      <c r="F56" s="32">
        <v>839</v>
      </c>
      <c r="G56" s="32">
        <v>828</v>
      </c>
      <c r="H56" s="32">
        <v>930</v>
      </c>
      <c r="I56" s="32">
        <v>912</v>
      </c>
      <c r="J56" s="32">
        <v>979</v>
      </c>
      <c r="K56" s="32">
        <v>968</v>
      </c>
      <c r="L56" s="32">
        <v>953</v>
      </c>
      <c r="M56" s="33">
        <v>1096</v>
      </c>
    </row>
    <row r="57" spans="1:13">
      <c r="A57" s="30" t="s">
        <v>105</v>
      </c>
      <c r="B57" s="31">
        <v>52429</v>
      </c>
      <c r="C57" s="32">
        <v>2944</v>
      </c>
      <c r="D57" s="32">
        <v>3771</v>
      </c>
      <c r="E57" s="32">
        <v>3591</v>
      </c>
      <c r="F57" s="32">
        <v>3770</v>
      </c>
      <c r="G57" s="32">
        <v>3935</v>
      </c>
      <c r="H57" s="32">
        <v>4480</v>
      </c>
      <c r="I57" s="32">
        <v>4891</v>
      </c>
      <c r="J57" s="32">
        <v>4715</v>
      </c>
      <c r="K57" s="32">
        <v>5242</v>
      </c>
      <c r="L57" s="32">
        <v>5235</v>
      </c>
      <c r="M57" s="33">
        <v>6927</v>
      </c>
    </row>
    <row r="58" spans="1:13">
      <c r="A58" s="30" t="s">
        <v>93</v>
      </c>
      <c r="B58" s="31">
        <v>87004</v>
      </c>
      <c r="C58" s="32">
        <v>5546</v>
      </c>
      <c r="D58" s="32">
        <v>6384</v>
      </c>
      <c r="E58" s="32">
        <v>6442</v>
      </c>
      <c r="F58" s="32">
        <v>6780</v>
      </c>
      <c r="G58" s="32">
        <v>6846</v>
      </c>
      <c r="H58" s="32">
        <v>7570</v>
      </c>
      <c r="I58" s="32">
        <v>7980</v>
      </c>
      <c r="J58" s="32">
        <v>7961</v>
      </c>
      <c r="K58" s="32">
        <v>8504</v>
      </c>
      <c r="L58" s="32">
        <v>8217</v>
      </c>
      <c r="M58" s="33">
        <v>9558</v>
      </c>
    </row>
    <row r="59" spans="1:13">
      <c r="A59" s="30" t="s">
        <v>85</v>
      </c>
      <c r="B59" s="31">
        <v>117631</v>
      </c>
      <c r="C59" s="32">
        <v>7360</v>
      </c>
      <c r="D59" s="32">
        <v>8659</v>
      </c>
      <c r="E59" s="32">
        <v>8703</v>
      </c>
      <c r="F59" s="32">
        <v>9061</v>
      </c>
      <c r="G59" s="32">
        <v>9463</v>
      </c>
      <c r="H59" s="32">
        <v>10649</v>
      </c>
      <c r="I59" s="32">
        <v>11407</v>
      </c>
      <c r="J59" s="32">
        <v>10514</v>
      </c>
      <c r="K59" s="32">
        <v>11203</v>
      </c>
      <c r="L59" s="32">
        <v>10882</v>
      </c>
      <c r="M59" s="33">
        <v>12787</v>
      </c>
    </row>
    <row r="60" spans="1:13">
      <c r="A60" s="30" t="s">
        <v>60</v>
      </c>
      <c r="B60" s="31">
        <v>191608</v>
      </c>
      <c r="C60" s="32">
        <v>14197</v>
      </c>
      <c r="D60" s="32">
        <v>15236</v>
      </c>
      <c r="E60" s="32">
        <v>14185</v>
      </c>
      <c r="F60" s="32">
        <v>13894</v>
      </c>
      <c r="G60" s="32">
        <v>13761</v>
      </c>
      <c r="H60" s="32">
        <v>15604</v>
      </c>
      <c r="I60" s="32">
        <v>15936</v>
      </c>
      <c r="J60" s="32">
        <v>16163</v>
      </c>
      <c r="K60" s="32">
        <v>18365</v>
      </c>
      <c r="L60" s="32">
        <v>17971</v>
      </c>
      <c r="M60" s="33">
        <v>22578</v>
      </c>
    </row>
    <row r="61" spans="1:13">
      <c r="A61" s="30" t="s">
        <v>95</v>
      </c>
      <c r="B61" s="31">
        <v>83482</v>
      </c>
      <c r="C61" s="32">
        <v>5204</v>
      </c>
      <c r="D61" s="32">
        <v>6105</v>
      </c>
      <c r="E61" s="32">
        <v>6234</v>
      </c>
      <c r="F61" s="32">
        <v>6370</v>
      </c>
      <c r="G61" s="32">
        <v>6449</v>
      </c>
      <c r="H61" s="32">
        <v>7031</v>
      </c>
      <c r="I61" s="32">
        <v>7229</v>
      </c>
      <c r="J61" s="32">
        <v>7301</v>
      </c>
      <c r="K61" s="32">
        <v>8322</v>
      </c>
      <c r="L61" s="32">
        <v>8238</v>
      </c>
      <c r="M61" s="33">
        <v>10176</v>
      </c>
    </row>
    <row r="62" spans="1:13">
      <c r="A62" s="30" t="s">
        <v>94</v>
      </c>
      <c r="B62" s="31">
        <v>86411</v>
      </c>
      <c r="C62" s="32">
        <v>5628</v>
      </c>
      <c r="D62" s="32">
        <v>6531</v>
      </c>
      <c r="E62" s="32">
        <v>5984</v>
      </c>
      <c r="F62" s="32">
        <v>6397</v>
      </c>
      <c r="G62" s="32">
        <v>6699</v>
      </c>
      <c r="H62" s="32">
        <v>7368</v>
      </c>
      <c r="I62" s="32">
        <v>7879</v>
      </c>
      <c r="J62" s="32">
        <v>7551</v>
      </c>
      <c r="K62" s="32">
        <v>8711</v>
      </c>
      <c r="L62" s="32">
        <v>8475</v>
      </c>
      <c r="M62" s="33">
        <v>10124</v>
      </c>
    </row>
    <row r="63" spans="1:13">
      <c r="A63" s="30" t="s">
        <v>62</v>
      </c>
      <c r="B63" s="31">
        <v>177903</v>
      </c>
      <c r="C63" s="32">
        <v>10085</v>
      </c>
      <c r="D63" s="32">
        <v>12123</v>
      </c>
      <c r="E63" s="32">
        <v>12510</v>
      </c>
      <c r="F63" s="32">
        <v>13298</v>
      </c>
      <c r="G63" s="32">
        <v>14994</v>
      </c>
      <c r="H63" s="32">
        <v>18098</v>
      </c>
      <c r="I63" s="32">
        <v>19403</v>
      </c>
      <c r="J63" s="32">
        <v>15997</v>
      </c>
      <c r="K63" s="32">
        <v>16614</v>
      </c>
      <c r="L63" s="32">
        <v>14822</v>
      </c>
      <c r="M63" s="33">
        <v>20226</v>
      </c>
    </row>
    <row r="64" spans="1:13">
      <c r="A64" s="30" t="s">
        <v>100</v>
      </c>
      <c r="B64" s="31">
        <v>68936</v>
      </c>
      <c r="C64" s="32">
        <v>4737</v>
      </c>
      <c r="D64" s="32">
        <v>5387</v>
      </c>
      <c r="E64" s="32">
        <v>5115</v>
      </c>
      <c r="F64" s="32">
        <v>5387</v>
      </c>
      <c r="G64" s="32">
        <v>5397</v>
      </c>
      <c r="H64" s="32">
        <v>5725</v>
      </c>
      <c r="I64" s="32">
        <v>6212</v>
      </c>
      <c r="J64" s="32">
        <v>6030</v>
      </c>
      <c r="K64" s="32">
        <v>6235</v>
      </c>
      <c r="L64" s="32">
        <v>6244</v>
      </c>
      <c r="M64" s="33">
        <v>7903</v>
      </c>
    </row>
    <row r="65" spans="1:13">
      <c r="A65" s="30" t="s">
        <v>34</v>
      </c>
      <c r="B65" s="31">
        <v>652959</v>
      </c>
      <c r="C65" s="32">
        <v>40307</v>
      </c>
      <c r="D65" s="32">
        <v>47019</v>
      </c>
      <c r="E65" s="32">
        <v>47361</v>
      </c>
      <c r="F65" s="32">
        <v>49433</v>
      </c>
      <c r="G65" s="32">
        <v>49967</v>
      </c>
      <c r="H65" s="32">
        <v>55958</v>
      </c>
      <c r="I65" s="32">
        <v>58997</v>
      </c>
      <c r="J65" s="32">
        <v>59303</v>
      </c>
      <c r="K65" s="32">
        <v>67991</v>
      </c>
      <c r="L65" s="32">
        <v>63876</v>
      </c>
      <c r="M65" s="33">
        <v>76596</v>
      </c>
    </row>
    <row r="66" spans="1:13">
      <c r="A66" s="30" t="s">
        <v>107</v>
      </c>
      <c r="B66" s="31">
        <v>47947</v>
      </c>
      <c r="C66" s="32">
        <v>2845</v>
      </c>
      <c r="D66" s="32">
        <v>3442</v>
      </c>
      <c r="E66" s="32">
        <v>4584</v>
      </c>
      <c r="F66" s="32">
        <v>3868</v>
      </c>
      <c r="G66" s="32">
        <v>4058</v>
      </c>
      <c r="H66" s="32">
        <v>4595</v>
      </c>
      <c r="I66" s="32">
        <v>4964</v>
      </c>
      <c r="J66" s="32">
        <v>3906</v>
      </c>
      <c r="K66" s="32">
        <v>4203</v>
      </c>
      <c r="L66" s="32">
        <v>3797</v>
      </c>
      <c r="M66" s="33">
        <v>4841</v>
      </c>
    </row>
    <row r="67" spans="1:13">
      <c r="A67" s="30" t="s">
        <v>97</v>
      </c>
      <c r="B67" s="31">
        <v>74724</v>
      </c>
      <c r="C67" s="32">
        <v>4864</v>
      </c>
      <c r="D67" s="32">
        <v>5423</v>
      </c>
      <c r="E67" s="32">
        <v>5562</v>
      </c>
      <c r="F67" s="32">
        <v>5690</v>
      </c>
      <c r="G67" s="32">
        <v>6157</v>
      </c>
      <c r="H67" s="32">
        <v>6472</v>
      </c>
      <c r="I67" s="32">
        <v>6946</v>
      </c>
      <c r="J67" s="32">
        <v>6504</v>
      </c>
      <c r="K67" s="32">
        <v>7016</v>
      </c>
      <c r="L67" s="32">
        <v>6912</v>
      </c>
      <c r="M67" s="33">
        <v>8707</v>
      </c>
    </row>
    <row r="68" spans="1:13">
      <c r="A68" s="30" t="s">
        <v>36</v>
      </c>
      <c r="B68" s="31">
        <v>589286</v>
      </c>
      <c r="C68" s="32">
        <v>36545</v>
      </c>
      <c r="D68" s="32">
        <v>42987</v>
      </c>
      <c r="E68" s="32">
        <v>44079</v>
      </c>
      <c r="F68" s="32">
        <v>45029</v>
      </c>
      <c r="G68" s="32">
        <v>45906</v>
      </c>
      <c r="H68" s="32">
        <v>49471</v>
      </c>
      <c r="I68" s="32">
        <v>52119</v>
      </c>
      <c r="J68" s="32">
        <v>51007</v>
      </c>
      <c r="K68" s="32">
        <v>57069</v>
      </c>
      <c r="L68" s="32">
        <v>56925</v>
      </c>
      <c r="M68" s="33">
        <v>73021</v>
      </c>
    </row>
    <row r="69" spans="1:13">
      <c r="A69" s="30" t="s">
        <v>76</v>
      </c>
      <c r="B69" s="31">
        <v>145976</v>
      </c>
      <c r="C69" s="32">
        <v>9409</v>
      </c>
      <c r="D69" s="32">
        <v>10529</v>
      </c>
      <c r="E69" s="32">
        <v>10680</v>
      </c>
      <c r="F69" s="32">
        <v>11052</v>
      </c>
      <c r="G69" s="32">
        <v>11420</v>
      </c>
      <c r="H69" s="32">
        <v>12601</v>
      </c>
      <c r="I69" s="32">
        <v>13545</v>
      </c>
      <c r="J69" s="32">
        <v>12869</v>
      </c>
      <c r="K69" s="32">
        <v>14242</v>
      </c>
      <c r="L69" s="32">
        <v>14087</v>
      </c>
      <c r="M69" s="33">
        <v>16921</v>
      </c>
    </row>
    <row r="70" spans="1:13">
      <c r="A70" s="30" t="s">
        <v>39</v>
      </c>
      <c r="B70" s="31">
        <v>452202</v>
      </c>
      <c r="C70" s="32">
        <v>29402</v>
      </c>
      <c r="D70" s="32">
        <v>33763</v>
      </c>
      <c r="E70" s="32">
        <v>33797</v>
      </c>
      <c r="F70" s="32">
        <v>35551</v>
      </c>
      <c r="G70" s="32">
        <v>36181</v>
      </c>
      <c r="H70" s="32">
        <v>39231</v>
      </c>
      <c r="I70" s="32">
        <v>41238</v>
      </c>
      <c r="J70" s="32">
        <v>40453</v>
      </c>
      <c r="K70" s="32">
        <v>43661</v>
      </c>
      <c r="L70" s="32">
        <v>42548</v>
      </c>
      <c r="M70" s="33">
        <v>48415</v>
      </c>
    </row>
    <row r="71" spans="1:13">
      <c r="A71" s="30" t="s">
        <v>52</v>
      </c>
      <c r="B71" s="31">
        <v>283621</v>
      </c>
      <c r="C71" s="32">
        <v>18159</v>
      </c>
      <c r="D71" s="32">
        <v>20990</v>
      </c>
      <c r="E71" s="32">
        <v>20742</v>
      </c>
      <c r="F71" s="32">
        <v>23159</v>
      </c>
      <c r="G71" s="32">
        <v>23241</v>
      </c>
      <c r="H71" s="32">
        <v>24825</v>
      </c>
      <c r="I71" s="32">
        <v>25526</v>
      </c>
      <c r="J71" s="32">
        <v>25250</v>
      </c>
      <c r="K71" s="32">
        <v>26700</v>
      </c>
      <c r="L71" s="32">
        <v>26347</v>
      </c>
      <c r="M71" s="33">
        <v>31496</v>
      </c>
    </row>
    <row r="72" spans="1:13">
      <c r="A72" s="30" t="s">
        <v>91</v>
      </c>
      <c r="B72" s="31">
        <v>95262</v>
      </c>
      <c r="C72" s="32">
        <v>5717</v>
      </c>
      <c r="D72" s="32">
        <v>6830</v>
      </c>
      <c r="E72" s="32">
        <v>7296</v>
      </c>
      <c r="F72" s="32">
        <v>7857</v>
      </c>
      <c r="G72" s="32">
        <v>8120</v>
      </c>
      <c r="H72" s="32">
        <v>8730</v>
      </c>
      <c r="I72" s="32">
        <v>9232</v>
      </c>
      <c r="J72" s="32">
        <v>8624</v>
      </c>
      <c r="K72" s="32">
        <v>9146</v>
      </c>
      <c r="L72" s="32">
        <v>8358</v>
      </c>
      <c r="M72" s="33">
        <v>10165</v>
      </c>
    </row>
    <row r="73" spans="1:13">
      <c r="A73" s="30" t="s">
        <v>33</v>
      </c>
      <c r="B73" s="31">
        <v>735598</v>
      </c>
      <c r="C73" s="32">
        <v>47782</v>
      </c>
      <c r="D73" s="32">
        <v>54263</v>
      </c>
      <c r="E73" s="32">
        <v>54368</v>
      </c>
      <c r="F73" s="32">
        <v>55758</v>
      </c>
      <c r="G73" s="32">
        <v>58471</v>
      </c>
      <c r="H73" s="32">
        <v>62885</v>
      </c>
      <c r="I73" s="32">
        <v>66749</v>
      </c>
      <c r="J73" s="32">
        <v>66010</v>
      </c>
      <c r="K73" s="32">
        <v>72535</v>
      </c>
      <c r="L73" s="32">
        <v>69264</v>
      </c>
      <c r="M73" s="33">
        <v>82327</v>
      </c>
    </row>
    <row r="74" spans="1:13">
      <c r="A74" s="30" t="s">
        <v>87</v>
      </c>
      <c r="B74" s="31">
        <v>113071</v>
      </c>
      <c r="C74" s="32">
        <v>7690</v>
      </c>
      <c r="D74" s="32">
        <v>8538</v>
      </c>
      <c r="E74" s="32">
        <v>8131</v>
      </c>
      <c r="F74" s="32">
        <v>8893</v>
      </c>
      <c r="G74" s="32">
        <v>8912</v>
      </c>
      <c r="H74" s="32">
        <v>9711</v>
      </c>
      <c r="I74" s="32">
        <v>10472</v>
      </c>
      <c r="J74" s="32">
        <v>9904</v>
      </c>
      <c r="K74" s="32">
        <v>10931</v>
      </c>
      <c r="L74" s="32">
        <v>10577</v>
      </c>
      <c r="M74" s="33">
        <v>12236</v>
      </c>
    </row>
    <row r="75" spans="1:13">
      <c r="A75" s="30" t="s">
        <v>48</v>
      </c>
      <c r="B75" s="31">
        <v>327387</v>
      </c>
      <c r="C75" s="32">
        <v>20505</v>
      </c>
      <c r="D75" s="32">
        <v>23578</v>
      </c>
      <c r="E75" s="32">
        <v>23725</v>
      </c>
      <c r="F75" s="32">
        <v>24547</v>
      </c>
      <c r="G75" s="32">
        <v>25729</v>
      </c>
      <c r="H75" s="32">
        <v>28084</v>
      </c>
      <c r="I75" s="32">
        <v>29682</v>
      </c>
      <c r="J75" s="32">
        <v>29281</v>
      </c>
      <c r="K75" s="32">
        <v>31890</v>
      </c>
      <c r="L75" s="32">
        <v>32057</v>
      </c>
      <c r="M75" s="33">
        <v>38639</v>
      </c>
    </row>
    <row r="76" spans="1:13">
      <c r="A76" s="30" t="s">
        <v>89</v>
      </c>
      <c r="B76" s="31">
        <v>102235</v>
      </c>
      <c r="C76" s="32">
        <v>6513</v>
      </c>
      <c r="D76" s="32">
        <v>7695</v>
      </c>
      <c r="E76" s="32">
        <v>7466</v>
      </c>
      <c r="F76" s="32">
        <v>7764</v>
      </c>
      <c r="G76" s="32">
        <v>8038</v>
      </c>
      <c r="H76" s="32">
        <v>9016</v>
      </c>
      <c r="I76" s="32">
        <v>9533</v>
      </c>
      <c r="J76" s="32">
        <v>9084</v>
      </c>
      <c r="K76" s="32">
        <v>9669</v>
      </c>
      <c r="L76" s="32">
        <v>9621</v>
      </c>
      <c r="M76" s="33">
        <v>11675</v>
      </c>
    </row>
    <row r="77" spans="1:13">
      <c r="A77" s="30" t="s">
        <v>68</v>
      </c>
      <c r="B77" s="31">
        <v>162179</v>
      </c>
      <c r="C77" s="32">
        <v>10377</v>
      </c>
      <c r="D77" s="32">
        <v>12097</v>
      </c>
      <c r="E77" s="32">
        <v>12392</v>
      </c>
      <c r="F77" s="32">
        <v>12719</v>
      </c>
      <c r="G77" s="32">
        <v>13017</v>
      </c>
      <c r="H77" s="32">
        <v>14067</v>
      </c>
      <c r="I77" s="32">
        <v>15046</v>
      </c>
      <c r="J77" s="32">
        <v>14591</v>
      </c>
      <c r="K77" s="32">
        <v>15597</v>
      </c>
      <c r="L77" s="32">
        <v>15046</v>
      </c>
      <c r="M77" s="33">
        <v>17391</v>
      </c>
    </row>
    <row r="78" spans="1:13">
      <c r="A78" s="30" t="s">
        <v>71</v>
      </c>
      <c r="B78" s="31">
        <v>154469</v>
      </c>
      <c r="C78" s="32">
        <v>10058</v>
      </c>
      <c r="D78" s="32">
        <v>11518</v>
      </c>
      <c r="E78" s="32">
        <v>11424</v>
      </c>
      <c r="F78" s="32">
        <v>12142</v>
      </c>
      <c r="G78" s="32">
        <v>12448</v>
      </c>
      <c r="H78" s="32">
        <v>13731</v>
      </c>
      <c r="I78" s="32">
        <v>14198</v>
      </c>
      <c r="J78" s="32">
        <v>13749</v>
      </c>
      <c r="K78" s="32">
        <v>14736</v>
      </c>
      <c r="L78" s="32">
        <v>14119</v>
      </c>
      <c r="M78" s="33">
        <v>17001</v>
      </c>
    </row>
    <row r="79" spans="1:13">
      <c r="A79" s="30" t="s">
        <v>58</v>
      </c>
      <c r="B79" s="31">
        <v>201958</v>
      </c>
      <c r="C79" s="32">
        <v>13025</v>
      </c>
      <c r="D79" s="32">
        <v>15158</v>
      </c>
      <c r="E79" s="32">
        <v>15111</v>
      </c>
      <c r="F79" s="32">
        <v>15112</v>
      </c>
      <c r="G79" s="32">
        <v>15474</v>
      </c>
      <c r="H79" s="32">
        <v>17150</v>
      </c>
      <c r="I79" s="32">
        <v>18019</v>
      </c>
      <c r="J79" s="32">
        <v>17753</v>
      </c>
      <c r="K79" s="32">
        <v>20259</v>
      </c>
      <c r="L79" s="32">
        <v>19597</v>
      </c>
      <c r="M79" s="33">
        <v>23256</v>
      </c>
    </row>
    <row r="80" spans="1:13">
      <c r="A80" s="30" t="s">
        <v>32</v>
      </c>
      <c r="B80" s="31">
        <v>834483</v>
      </c>
      <c r="C80" s="32">
        <v>52342</v>
      </c>
      <c r="D80" s="32">
        <v>59943</v>
      </c>
      <c r="E80" s="32">
        <v>64147</v>
      </c>
      <c r="F80" s="32">
        <v>64015</v>
      </c>
      <c r="G80" s="32">
        <v>66498</v>
      </c>
      <c r="H80" s="32">
        <v>74172</v>
      </c>
      <c r="I80" s="32">
        <v>79311</v>
      </c>
      <c r="J80" s="32">
        <v>74038</v>
      </c>
      <c r="K80" s="32">
        <v>81525</v>
      </c>
      <c r="L80" s="32">
        <v>78653</v>
      </c>
      <c r="M80" s="33">
        <v>91526</v>
      </c>
    </row>
    <row r="81" spans="1:13">
      <c r="A81" s="30" t="s">
        <v>46</v>
      </c>
      <c r="B81" s="31">
        <v>345490</v>
      </c>
      <c r="C81" s="32">
        <v>21849</v>
      </c>
      <c r="D81" s="32">
        <v>25165</v>
      </c>
      <c r="E81" s="32">
        <v>25049</v>
      </c>
      <c r="F81" s="32">
        <v>26318</v>
      </c>
      <c r="G81" s="32">
        <v>27019</v>
      </c>
      <c r="H81" s="32">
        <v>30697</v>
      </c>
      <c r="I81" s="32">
        <v>32601</v>
      </c>
      <c r="J81" s="32">
        <v>30646</v>
      </c>
      <c r="K81" s="32">
        <v>33955</v>
      </c>
      <c r="L81" s="32">
        <v>33435</v>
      </c>
      <c r="M81" s="33">
        <v>38587</v>
      </c>
    </row>
    <row r="82" spans="1:13">
      <c r="A82" s="30" t="s">
        <v>56</v>
      </c>
      <c r="B82" s="31">
        <v>240929</v>
      </c>
      <c r="C82" s="32">
        <v>14567</v>
      </c>
      <c r="D82" s="32">
        <v>17300</v>
      </c>
      <c r="E82" s="32">
        <v>17356</v>
      </c>
      <c r="F82" s="32">
        <v>17859</v>
      </c>
      <c r="G82" s="32">
        <v>18776</v>
      </c>
      <c r="H82" s="32">
        <v>20186</v>
      </c>
      <c r="I82" s="32">
        <v>22343</v>
      </c>
      <c r="J82" s="32">
        <v>21713</v>
      </c>
      <c r="K82" s="32">
        <v>24442</v>
      </c>
      <c r="L82" s="32">
        <v>23473</v>
      </c>
      <c r="M82" s="33">
        <v>29650</v>
      </c>
    </row>
    <row r="83" spans="1:13">
      <c r="A83" s="30" t="s">
        <v>75</v>
      </c>
      <c r="B83" s="31">
        <v>146886</v>
      </c>
      <c r="C83" s="32">
        <v>9349</v>
      </c>
      <c r="D83" s="32">
        <v>10825</v>
      </c>
      <c r="E83" s="32">
        <v>10681</v>
      </c>
      <c r="F83" s="32">
        <v>10947</v>
      </c>
      <c r="G83" s="32">
        <v>11423</v>
      </c>
      <c r="H83" s="32">
        <v>12966</v>
      </c>
      <c r="I83" s="32">
        <v>13444</v>
      </c>
      <c r="J83" s="32">
        <v>13035</v>
      </c>
      <c r="K83" s="32">
        <v>14467</v>
      </c>
      <c r="L83" s="32">
        <v>13868</v>
      </c>
      <c r="M83" s="33">
        <v>16737</v>
      </c>
    </row>
    <row r="84" spans="1:13">
      <c r="A84" s="30" t="s">
        <v>57</v>
      </c>
      <c r="B84" s="31">
        <v>214358</v>
      </c>
      <c r="C84" s="32">
        <v>13925</v>
      </c>
      <c r="D84" s="32">
        <v>15889</v>
      </c>
      <c r="E84" s="32">
        <v>16747</v>
      </c>
      <c r="F84" s="32">
        <v>17164</v>
      </c>
      <c r="G84" s="32">
        <v>17648</v>
      </c>
      <c r="H84" s="32">
        <v>19451</v>
      </c>
      <c r="I84" s="32">
        <v>19928</v>
      </c>
      <c r="J84" s="32">
        <v>18804</v>
      </c>
      <c r="K84" s="32">
        <v>20350</v>
      </c>
      <c r="L84" s="32">
        <v>19390</v>
      </c>
      <c r="M84" s="33">
        <v>22348</v>
      </c>
    </row>
    <row r="85" spans="1:13">
      <c r="A85" s="30" t="s">
        <v>37</v>
      </c>
      <c r="B85" s="31">
        <v>508567</v>
      </c>
      <c r="C85" s="32">
        <v>33054</v>
      </c>
      <c r="D85" s="32">
        <v>37500</v>
      </c>
      <c r="E85" s="32">
        <v>37471</v>
      </c>
      <c r="F85" s="32">
        <v>38540</v>
      </c>
      <c r="G85" s="32">
        <v>40529</v>
      </c>
      <c r="H85" s="32">
        <v>44057</v>
      </c>
      <c r="I85" s="32">
        <v>47327</v>
      </c>
      <c r="J85" s="32">
        <v>45510</v>
      </c>
      <c r="K85" s="32">
        <v>49529</v>
      </c>
      <c r="L85" s="32">
        <v>47593</v>
      </c>
      <c r="M85" s="33">
        <v>56874</v>
      </c>
    </row>
    <row r="86" spans="1:13">
      <c r="A86" s="30" t="s">
        <v>106</v>
      </c>
      <c r="B86" s="31">
        <v>49180</v>
      </c>
      <c r="C86" s="32">
        <v>3555</v>
      </c>
      <c r="D86" s="32">
        <v>3961</v>
      </c>
      <c r="E86" s="32">
        <v>3770</v>
      </c>
      <c r="F86" s="32">
        <v>4045</v>
      </c>
      <c r="G86" s="32">
        <v>3977</v>
      </c>
      <c r="H86" s="32">
        <v>4360</v>
      </c>
      <c r="I86" s="32">
        <v>4260</v>
      </c>
      <c r="J86" s="32">
        <v>4304</v>
      </c>
      <c r="K86" s="32">
        <v>4342</v>
      </c>
      <c r="L86" s="32">
        <v>4298</v>
      </c>
      <c r="M86" s="33">
        <v>4815</v>
      </c>
    </row>
    <row r="87" spans="1:13">
      <c r="A87" s="30" t="s">
        <v>63</v>
      </c>
      <c r="B87" s="31">
        <v>173059</v>
      </c>
      <c r="C87" s="32">
        <v>11129</v>
      </c>
      <c r="D87" s="32">
        <v>12569</v>
      </c>
      <c r="E87" s="32">
        <v>12629</v>
      </c>
      <c r="F87" s="32">
        <v>12840</v>
      </c>
      <c r="G87" s="32">
        <v>12892</v>
      </c>
      <c r="H87" s="32">
        <v>14004</v>
      </c>
      <c r="I87" s="32">
        <v>15543</v>
      </c>
      <c r="J87" s="32">
        <v>15185</v>
      </c>
      <c r="K87" s="32">
        <v>17125</v>
      </c>
      <c r="L87" s="32">
        <v>17433</v>
      </c>
      <c r="M87" s="33">
        <v>21532</v>
      </c>
    </row>
    <row r="88" spans="1:13">
      <c r="A88" s="30" t="s">
        <v>112</v>
      </c>
      <c r="B88" s="31">
        <v>10941</v>
      </c>
      <c r="C88" s="32">
        <v>612</v>
      </c>
      <c r="D88" s="32">
        <v>670</v>
      </c>
      <c r="E88" s="32">
        <v>778</v>
      </c>
      <c r="F88" s="32">
        <v>876</v>
      </c>
      <c r="G88" s="32">
        <v>988</v>
      </c>
      <c r="H88" s="32">
        <v>1141</v>
      </c>
      <c r="I88" s="32">
        <v>1224</v>
      </c>
      <c r="J88" s="32">
        <v>967</v>
      </c>
      <c r="K88" s="32">
        <v>1021</v>
      </c>
      <c r="L88" s="32">
        <v>997</v>
      </c>
      <c r="M88" s="33">
        <v>1058</v>
      </c>
    </row>
    <row r="89" spans="1:13">
      <c r="A89" s="30" t="s">
        <v>67</v>
      </c>
      <c r="B89" s="31">
        <v>164183</v>
      </c>
      <c r="C89" s="32">
        <v>11090</v>
      </c>
      <c r="D89" s="32">
        <v>12539</v>
      </c>
      <c r="E89" s="32">
        <v>12454</v>
      </c>
      <c r="F89" s="32">
        <v>12709</v>
      </c>
      <c r="G89" s="32">
        <v>13150</v>
      </c>
      <c r="H89" s="32">
        <v>13856</v>
      </c>
      <c r="I89" s="32">
        <v>15150</v>
      </c>
      <c r="J89" s="32">
        <v>14560</v>
      </c>
      <c r="K89" s="32">
        <v>15493</v>
      </c>
      <c r="L89" s="32">
        <v>15239</v>
      </c>
      <c r="M89" s="33">
        <v>17830</v>
      </c>
    </row>
    <row r="90" spans="1:13" ht="15.75" customHeight="1">
      <c r="A90" s="34" t="s">
        <v>183</v>
      </c>
      <c r="B90" s="35">
        <v>23930025</v>
      </c>
      <c r="C90" s="36">
        <v>1553739</v>
      </c>
      <c r="D90" s="36">
        <v>1777212</v>
      </c>
      <c r="E90" s="36">
        <v>1792333</v>
      </c>
      <c r="F90" s="36">
        <v>1839285</v>
      </c>
      <c r="G90" s="36">
        <v>1896289</v>
      </c>
      <c r="H90" s="36">
        <v>2060319</v>
      </c>
      <c r="I90" s="36">
        <v>2180130</v>
      </c>
      <c r="J90" s="36">
        <v>2131341</v>
      </c>
      <c r="K90" s="36">
        <v>2317268</v>
      </c>
      <c r="L90" s="36">
        <v>2264206</v>
      </c>
      <c r="M90" s="37">
        <v>2672916</v>
      </c>
    </row>
    <row r="91" spans="1:13">
      <c r="A91" s="9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1"/>
  <sheetViews>
    <sheetView showGridLines="0" workbookViewId="0"/>
  </sheetViews>
  <sheetFormatPr defaultColWidth="12.6640625" defaultRowHeight="15.75" customHeight="1"/>
  <sheetData>
    <row r="1" spans="1:14">
      <c r="A1" s="20"/>
      <c r="B1" s="21" t="s">
        <v>170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>
      <c r="A2" s="21" t="s">
        <v>0</v>
      </c>
      <c r="B2" s="20" t="s">
        <v>171</v>
      </c>
      <c r="C2" s="24" t="s">
        <v>184</v>
      </c>
      <c r="D2" s="24" t="s">
        <v>172</v>
      </c>
      <c r="E2" s="24" t="s">
        <v>173</v>
      </c>
      <c r="F2" s="24" t="s">
        <v>174</v>
      </c>
      <c r="G2" s="24" t="s">
        <v>175</v>
      </c>
      <c r="H2" s="24" t="s">
        <v>176</v>
      </c>
      <c r="I2" s="24" t="s">
        <v>177</v>
      </c>
      <c r="J2" s="24" t="s">
        <v>178</v>
      </c>
      <c r="K2" s="24" t="s">
        <v>179</v>
      </c>
      <c r="L2" s="24" t="s">
        <v>180</v>
      </c>
      <c r="M2" s="24" t="s">
        <v>181</v>
      </c>
      <c r="N2" s="25" t="s">
        <v>182</v>
      </c>
    </row>
    <row r="3" spans="1:14">
      <c r="A3" s="26" t="s">
        <v>54</v>
      </c>
      <c r="B3" s="38">
        <v>1.1118584288984237E-2</v>
      </c>
      <c r="C3" s="39">
        <v>1.1321901165892842E-2</v>
      </c>
      <c r="D3" s="39">
        <v>1.1112548503963664E-2</v>
      </c>
      <c r="E3" s="39">
        <v>1.1128666698176694E-2</v>
      </c>
      <c r="F3" s="39">
        <v>1.1137997236004693E-2</v>
      </c>
      <c r="G3" s="39">
        <v>1.1202722797173902E-2</v>
      </c>
      <c r="H3" s="39">
        <v>1.1154945264144863E-2</v>
      </c>
      <c r="I3" s="39">
        <v>1.1501616982612886E-2</v>
      </c>
      <c r="J3" s="39">
        <v>1.1381890070775596E-2</v>
      </c>
      <c r="K3" s="39">
        <v>1.0958359080034589E-2</v>
      </c>
      <c r="L3" s="39">
        <v>1.0935291041001731E-2</v>
      </c>
      <c r="M3" s="39">
        <v>1.0917292861161927E-2</v>
      </c>
      <c r="N3" s="40">
        <v>1.0855934118393544E-2</v>
      </c>
    </row>
    <row r="4" spans="1:14">
      <c r="A4" s="30" t="s">
        <v>86</v>
      </c>
      <c r="B4" s="41">
        <v>4.8925983152963695E-3</v>
      </c>
      <c r="C4" s="42">
        <v>4.6941598782549599E-3</v>
      </c>
      <c r="D4" s="42">
        <v>4.7768640679032963E-3</v>
      </c>
      <c r="E4" s="42">
        <v>4.6707989817759499E-3</v>
      </c>
      <c r="F4" s="42">
        <v>4.8908322281629585E-3</v>
      </c>
      <c r="G4" s="42">
        <v>5.0166233074265274E-3</v>
      </c>
      <c r="H4" s="42">
        <v>5.1083985616116531E-3</v>
      </c>
      <c r="I4" s="42">
        <v>5.2084167548811615E-3</v>
      </c>
      <c r="J4" s="42">
        <v>5.0474054299514248E-3</v>
      </c>
      <c r="K4" s="42">
        <v>4.9114618449136015E-3</v>
      </c>
      <c r="L4" s="42">
        <v>4.9001669207014466E-3</v>
      </c>
      <c r="M4" s="42">
        <v>4.6404788256898888E-3</v>
      </c>
      <c r="N4" s="43">
        <v>4.7996270739521932E-3</v>
      </c>
    </row>
    <row r="5" spans="1:14">
      <c r="A5" s="30" t="s">
        <v>64</v>
      </c>
      <c r="B5" s="41">
        <v>7.1475896911933857E-3</v>
      </c>
      <c r="C5" s="42">
        <v>6.7073267787184244E-3</v>
      </c>
      <c r="D5" s="42">
        <v>7.0352871363851969E-3</v>
      </c>
      <c r="E5" s="42">
        <v>6.8089794577124172E-3</v>
      </c>
      <c r="F5" s="42">
        <v>7.30277242008042E-3</v>
      </c>
      <c r="G5" s="42">
        <v>7.2664105888973164E-3</v>
      </c>
      <c r="H5" s="42">
        <v>7.4229191858413987E-3</v>
      </c>
      <c r="I5" s="42">
        <v>7.3265353569034698E-3</v>
      </c>
      <c r="J5" s="42">
        <v>7.252778504034163E-3</v>
      </c>
      <c r="K5" s="42">
        <v>7.2067304105724985E-3</v>
      </c>
      <c r="L5" s="42">
        <v>7.1674920639304557E-3</v>
      </c>
      <c r="M5" s="42">
        <v>7.0483869400575746E-3</v>
      </c>
      <c r="N5" s="43">
        <v>7.0907578090744338E-3</v>
      </c>
    </row>
    <row r="6" spans="1:14">
      <c r="A6" s="30" t="s">
        <v>66</v>
      </c>
      <c r="B6" s="41">
        <v>6.8617145197299211E-3</v>
      </c>
      <c r="C6" s="42">
        <v>6.442964538781318E-3</v>
      </c>
      <c r="D6" s="42">
        <v>6.7630406393866666E-3</v>
      </c>
      <c r="E6" s="42">
        <v>6.5208877725336086E-3</v>
      </c>
      <c r="F6" s="42">
        <v>7.0299436544436775E-3</v>
      </c>
      <c r="G6" s="42">
        <v>7.0114201986097857E-3</v>
      </c>
      <c r="H6" s="42">
        <v>7.1096757930885005E-3</v>
      </c>
      <c r="I6" s="42">
        <v>7.008138060174177E-3</v>
      </c>
      <c r="J6" s="42">
        <v>6.9408704985482513E-3</v>
      </c>
      <c r="K6" s="42">
        <v>6.8998813423098411E-3</v>
      </c>
      <c r="L6" s="42">
        <v>6.8900101326216908E-3</v>
      </c>
      <c r="M6" s="42">
        <v>6.7825100719634164E-3</v>
      </c>
      <c r="N6" s="43">
        <v>6.815028979586339E-3</v>
      </c>
    </row>
    <row r="7" spans="1:14">
      <c r="A7" s="30" t="s">
        <v>83</v>
      </c>
      <c r="B7" s="41">
        <v>5.3232706610210397E-3</v>
      </c>
      <c r="C7" s="42">
        <v>5.234649169854123E-3</v>
      </c>
      <c r="D7" s="42">
        <v>5.0587646960010661E-3</v>
      </c>
      <c r="E7" s="42">
        <v>5.1895890867268511E-3</v>
      </c>
      <c r="F7" s="42">
        <v>5.0336628293960999E-3</v>
      </c>
      <c r="G7" s="42">
        <v>5.5168176764340488E-3</v>
      </c>
      <c r="H7" s="42">
        <v>5.2887508180451395E-3</v>
      </c>
      <c r="I7" s="42">
        <v>5.3763519144365505E-3</v>
      </c>
      <c r="J7" s="42">
        <v>5.4405012545123456E-3</v>
      </c>
      <c r="K7" s="42">
        <v>5.2389551929982112E-3</v>
      </c>
      <c r="L7" s="42">
        <v>5.4516784420274222E-3</v>
      </c>
      <c r="M7" s="42">
        <v>5.2910380062591482E-3</v>
      </c>
      <c r="N7" s="43">
        <v>5.5460029421051764E-3</v>
      </c>
    </row>
    <row r="8" spans="1:14">
      <c r="A8" s="30" t="s">
        <v>59</v>
      </c>
      <c r="B8" s="41">
        <v>8.1362639612787696E-3</v>
      </c>
      <c r="C8" s="42">
        <v>7.8658147097517145E-3</v>
      </c>
      <c r="D8" s="42">
        <v>7.8681168458795206E-3</v>
      </c>
      <c r="E8" s="42">
        <v>7.5854765779209236E-3</v>
      </c>
      <c r="F8" s="42">
        <v>7.8049112525406831E-3</v>
      </c>
      <c r="G8" s="42">
        <v>8.0384497236697956E-3</v>
      </c>
      <c r="H8" s="42">
        <v>8.0789373349737306E-3</v>
      </c>
      <c r="I8" s="42">
        <v>8.2453251171299199E-3</v>
      </c>
      <c r="J8" s="42">
        <v>8.1151124015540355E-3</v>
      </c>
      <c r="K8" s="42">
        <v>8.0564302005169518E-3</v>
      </c>
      <c r="L8" s="42">
        <v>8.3632967787929582E-3</v>
      </c>
      <c r="M8" s="42">
        <v>8.5831412866143805E-3</v>
      </c>
      <c r="N8" s="43">
        <v>8.5561985487011185E-3</v>
      </c>
    </row>
    <row r="9" spans="1:14">
      <c r="A9" s="30" t="s">
        <v>81</v>
      </c>
      <c r="B9" s="41">
        <v>5.498155559804054E-3</v>
      </c>
      <c r="C9" s="42">
        <v>5.4664851656104864E-3</v>
      </c>
      <c r="D9" s="42">
        <v>5.4661690283889378E-3</v>
      </c>
      <c r="E9" s="42">
        <v>5.3341976083888694E-3</v>
      </c>
      <c r="F9" s="42">
        <v>5.3522420219903333E-3</v>
      </c>
      <c r="G9" s="42">
        <v>5.4640797918756477E-3</v>
      </c>
      <c r="H9" s="42">
        <v>5.4749038780481244E-3</v>
      </c>
      <c r="I9" s="42">
        <v>5.4996337945725877E-3</v>
      </c>
      <c r="J9" s="42">
        <v>5.5515038094058611E-3</v>
      </c>
      <c r="K9" s="42">
        <v>5.4350758513067596E-3</v>
      </c>
      <c r="L9" s="42">
        <v>5.587614380382416E-3</v>
      </c>
      <c r="M9" s="42">
        <v>5.64215446827718E-3</v>
      </c>
      <c r="N9" s="43">
        <v>5.5867823755030091E-3</v>
      </c>
    </row>
    <row r="10" spans="1:14">
      <c r="A10" s="30" t="s">
        <v>114</v>
      </c>
      <c r="B10" s="41">
        <v>2.8587517146346484E-4</v>
      </c>
      <c r="C10" s="42">
        <v>2.6436223993710672E-4</v>
      </c>
      <c r="D10" s="42">
        <v>2.7224649699853062E-4</v>
      </c>
      <c r="E10" s="42">
        <v>2.8809168517880814E-4</v>
      </c>
      <c r="F10" s="42">
        <v>2.7282876563674272E-4</v>
      </c>
      <c r="G10" s="42">
        <v>2.5499039028753018E-4</v>
      </c>
      <c r="H10" s="42">
        <v>3.1324339275289791E-4</v>
      </c>
      <c r="I10" s="42">
        <v>3.1839729672929288E-4</v>
      </c>
      <c r="J10" s="42">
        <v>3.1190800548591138E-4</v>
      </c>
      <c r="K10" s="42">
        <v>3.0684906826265718E-4</v>
      </c>
      <c r="L10" s="42">
        <v>2.7748193130876534E-4</v>
      </c>
      <c r="M10" s="42">
        <v>2.658768680941575E-4</v>
      </c>
      <c r="N10" s="43">
        <v>2.7572882948809463E-4</v>
      </c>
    </row>
    <row r="11" spans="1:14">
      <c r="A11" s="30" t="s">
        <v>44</v>
      </c>
      <c r="B11" s="41">
        <v>1.4903160360258712E-2</v>
      </c>
      <c r="C11" s="42">
        <v>1.4090784207747198E-2</v>
      </c>
      <c r="D11" s="42">
        <v>1.4271380199634559E-2</v>
      </c>
      <c r="E11" s="42">
        <v>1.4446785189386522E-2</v>
      </c>
      <c r="F11" s="42">
        <v>1.6554959374178793E-2</v>
      </c>
      <c r="G11" s="42">
        <v>1.505856895478406E-2</v>
      </c>
      <c r="H11" s="42">
        <v>1.4984002965792661E-2</v>
      </c>
      <c r="I11" s="42">
        <v>1.5092323082008174E-2</v>
      </c>
      <c r="J11" s="42">
        <v>1.5351836817070542E-2</v>
      </c>
      <c r="K11" s="42">
        <v>1.4845583132872684E-2</v>
      </c>
      <c r="L11" s="42">
        <v>1.4919292891456664E-2</v>
      </c>
      <c r="M11" s="42">
        <v>1.4671809897156001E-2</v>
      </c>
      <c r="N11" s="43">
        <v>1.4457244447636963E-2</v>
      </c>
    </row>
    <row r="12" spans="1:14">
      <c r="A12" s="30" t="s">
        <v>80</v>
      </c>
      <c r="B12" s="41">
        <v>5.5310431142466419E-3</v>
      </c>
      <c r="C12" s="42">
        <v>5.3862076267814172E-3</v>
      </c>
      <c r="D12" s="42">
        <v>5.35353749889782E-3</v>
      </c>
      <c r="E12" s="42">
        <v>5.122067598013068E-3</v>
      </c>
      <c r="F12" s="42">
        <v>5.2585094399310844E-3</v>
      </c>
      <c r="G12" s="42">
        <v>5.4374390048306815E-3</v>
      </c>
      <c r="H12" s="42">
        <v>5.8350810451360527E-3</v>
      </c>
      <c r="I12" s="42">
        <v>6.0087782522997655E-3</v>
      </c>
      <c r="J12" s="42">
        <v>6.0734910303514014E-3</v>
      </c>
      <c r="K12" s="42">
        <v>5.5129610888168526E-3</v>
      </c>
      <c r="L12" s="42">
        <v>5.6091915134546368E-3</v>
      </c>
      <c r="M12" s="42">
        <v>5.2994294688734154E-3</v>
      </c>
      <c r="N12" s="43">
        <v>5.3480917469909267E-3</v>
      </c>
    </row>
    <row r="13" spans="1:14">
      <c r="A13" s="30" t="s">
        <v>65</v>
      </c>
      <c r="B13" s="41">
        <v>6.9241047596063938E-3</v>
      </c>
      <c r="C13" s="42">
        <v>6.9613083024276344E-3</v>
      </c>
      <c r="D13" s="42">
        <v>7.0674675733826591E-3</v>
      </c>
      <c r="E13" s="42">
        <v>7.0059171331276178E-3</v>
      </c>
      <c r="F13" s="42">
        <v>6.7409348597609929E-3</v>
      </c>
      <c r="G13" s="42">
        <v>6.8689735413489479E-3</v>
      </c>
      <c r="H13" s="42">
        <v>6.8344012964268635E-3</v>
      </c>
      <c r="I13" s="42">
        <v>7.1129761944630906E-3</v>
      </c>
      <c r="J13" s="42">
        <v>7.0775595950700191E-3</v>
      </c>
      <c r="K13" s="42">
        <v>7.0007568005307453E-3</v>
      </c>
      <c r="L13" s="42">
        <v>7.0108420778261299E-3</v>
      </c>
      <c r="M13" s="42">
        <v>6.8443419017527561E-3</v>
      </c>
      <c r="N13" s="43">
        <v>6.6511629995106465E-3</v>
      </c>
    </row>
    <row r="14" spans="1:14">
      <c r="A14" s="30" t="s">
        <v>51</v>
      </c>
      <c r="B14" s="41">
        <v>1.2021759275220147E-2</v>
      </c>
      <c r="C14" s="42">
        <v>1.2610494073649106E-2</v>
      </c>
      <c r="D14" s="42">
        <v>1.2090190179946567E-2</v>
      </c>
      <c r="E14" s="42">
        <v>1.2233205717719664E-2</v>
      </c>
      <c r="F14" s="42">
        <v>1.2169613570692499E-2</v>
      </c>
      <c r="G14" s="42">
        <v>1.2212354257224955E-2</v>
      </c>
      <c r="H14" s="42">
        <v>1.1862643299623634E-2</v>
      </c>
      <c r="I14" s="42">
        <v>1.2000568843950864E-2</v>
      </c>
      <c r="J14" s="42">
        <v>1.1967634957548403E-2</v>
      </c>
      <c r="K14" s="42">
        <v>1.1821665327134419E-2</v>
      </c>
      <c r="L14" s="42">
        <v>1.1980918909681573E-2</v>
      </c>
      <c r="M14" s="42">
        <v>1.1910135385207883E-2</v>
      </c>
      <c r="N14" s="43">
        <v>1.1755700515841126E-2</v>
      </c>
    </row>
    <row r="15" spans="1:14">
      <c r="A15" s="30" t="s">
        <v>70</v>
      </c>
      <c r="B15" s="41">
        <v>6.5380625385890734E-3</v>
      </c>
      <c r="C15" s="42">
        <v>6.4228951540740509E-3</v>
      </c>
      <c r="D15" s="42">
        <v>6.458613705390674E-3</v>
      </c>
      <c r="E15" s="42">
        <v>6.3543347670396103E-3</v>
      </c>
      <c r="F15" s="42">
        <v>6.4190080749503579E-3</v>
      </c>
      <c r="G15" s="42">
        <v>6.568313230412905E-3</v>
      </c>
      <c r="H15" s="42">
        <v>6.5738924815784937E-3</v>
      </c>
      <c r="I15" s="42">
        <v>6.5431615201335331E-3</v>
      </c>
      <c r="J15" s="42">
        <v>6.5739199038589444E-3</v>
      </c>
      <c r="K15" s="42">
        <v>6.6211835647134835E-3</v>
      </c>
      <c r="L15" s="42">
        <v>6.6582717234260347E-3</v>
      </c>
      <c r="M15" s="42">
        <v>6.7988513412648851E-3</v>
      </c>
      <c r="N15" s="43">
        <v>6.3776789094756436E-3</v>
      </c>
    </row>
    <row r="16" spans="1:14">
      <c r="A16" s="30" t="s">
        <v>49</v>
      </c>
      <c r="B16" s="41">
        <v>1.2574454059283265E-2</v>
      </c>
      <c r="C16" s="42">
        <v>1.2688003421484068E-2</v>
      </c>
      <c r="D16" s="42">
        <v>1.2547152385310532E-2</v>
      </c>
      <c r="E16" s="42">
        <v>1.261020069637162E-2</v>
      </c>
      <c r="F16" s="42">
        <v>1.2349267686306061E-2</v>
      </c>
      <c r="G16" s="42">
        <v>1.2381441701530757E-2</v>
      </c>
      <c r="H16" s="42">
        <v>1.2561903802637678E-2</v>
      </c>
      <c r="I16" s="42">
        <v>1.2620861138493603E-2</v>
      </c>
      <c r="J16" s="42">
        <v>1.2279084274790953E-2</v>
      </c>
      <c r="K16" s="42">
        <v>1.2405335420282349E-2</v>
      </c>
      <c r="L16" s="42">
        <v>1.2494886219461883E-2</v>
      </c>
      <c r="M16" s="42">
        <v>1.2755464829613559E-2</v>
      </c>
      <c r="N16" s="43">
        <v>1.30535340429703E-2</v>
      </c>
    </row>
    <row r="17" spans="1:14">
      <c r="A17" s="30" t="s">
        <v>28</v>
      </c>
      <c r="B17" s="41">
        <v>0.1256899230151243</v>
      </c>
      <c r="C17" s="42">
        <v>0.12922261584360276</v>
      </c>
      <c r="D17" s="42">
        <v>0.13214896453007874</v>
      </c>
      <c r="E17" s="42">
        <v>0.1305623639723342</v>
      </c>
      <c r="F17" s="42">
        <v>0.12919585813573706</v>
      </c>
      <c r="G17" s="42">
        <v>0.12534164090937511</v>
      </c>
      <c r="H17" s="42">
        <v>0.12434127920375006</v>
      </c>
      <c r="I17" s="42">
        <v>0.12232183462852111</v>
      </c>
      <c r="J17" s="42">
        <v>0.12125331975616133</v>
      </c>
      <c r="K17" s="42">
        <v>0.12625994620288353</v>
      </c>
      <c r="L17" s="42">
        <v>0.12285070177467604</v>
      </c>
      <c r="M17" s="42">
        <v>0.12762752152410162</v>
      </c>
      <c r="N17" s="43">
        <v>0.12221184653763904</v>
      </c>
    </row>
    <row r="18" spans="1:14">
      <c r="A18" s="30" t="s">
        <v>30</v>
      </c>
      <c r="B18" s="41">
        <v>5.2665511214468018E-2</v>
      </c>
      <c r="C18" s="42">
        <v>5.2038530450446957E-2</v>
      </c>
      <c r="D18" s="42">
        <v>5.3276644275518606E-2</v>
      </c>
      <c r="E18" s="42">
        <v>5.2885643355998047E-2</v>
      </c>
      <c r="F18" s="42">
        <v>5.2610759272969924E-2</v>
      </c>
      <c r="G18" s="42">
        <v>5.2352408680547059E-2</v>
      </c>
      <c r="H18" s="42">
        <v>5.1965707758680243E-2</v>
      </c>
      <c r="I18" s="42">
        <v>5.0765439720742274E-2</v>
      </c>
      <c r="J18" s="42">
        <v>5.1146949952525764E-2</v>
      </c>
      <c r="K18" s="42">
        <v>5.4230177151380281E-2</v>
      </c>
      <c r="L18" s="42">
        <v>5.2703442156884744E-2</v>
      </c>
      <c r="M18" s="42">
        <v>5.3333928096648449E-2</v>
      </c>
      <c r="N18" s="43">
        <v>5.410794802380621E-2</v>
      </c>
    </row>
    <row r="19" spans="1:14">
      <c r="A19" s="30" t="s">
        <v>104</v>
      </c>
      <c r="B19" s="41">
        <v>2.4841177558318473E-3</v>
      </c>
      <c r="C19" s="42">
        <v>2.8879152546009063E-3</v>
      </c>
      <c r="D19" s="42">
        <v>2.8698513714336834E-3</v>
      </c>
      <c r="E19" s="42">
        <v>2.6400902087089216E-3</v>
      </c>
      <c r="F19" s="42">
        <v>2.4922824051111037E-3</v>
      </c>
      <c r="G19" s="42">
        <v>2.3753795632541993E-3</v>
      </c>
      <c r="H19" s="42">
        <v>2.2696962330108965E-3</v>
      </c>
      <c r="I19" s="42">
        <v>2.3185729976765734E-3</v>
      </c>
      <c r="J19" s="42">
        <v>2.2480310807153703E-3</v>
      </c>
      <c r="K19" s="42">
        <v>2.3374955016583457E-3</v>
      </c>
      <c r="L19" s="42">
        <v>2.4300167265935576E-3</v>
      </c>
      <c r="M19" s="42">
        <v>2.5227386554050294E-3</v>
      </c>
      <c r="N19" s="43">
        <v>2.6106319839456233E-3</v>
      </c>
    </row>
    <row r="20" spans="1:14">
      <c r="A20" s="30" t="s">
        <v>111</v>
      </c>
      <c r="B20" s="41">
        <v>7.5206774752638165E-4</v>
      </c>
      <c r="C20" s="42">
        <v>7.328785656895183E-4</v>
      </c>
      <c r="D20" s="42">
        <v>7.8005379281848497E-4</v>
      </c>
      <c r="E20" s="42">
        <v>7.6636889690143888E-4</v>
      </c>
      <c r="F20" s="42">
        <v>7.6157722923139845E-4</v>
      </c>
      <c r="G20" s="42">
        <v>7.5681582788964192E-4</v>
      </c>
      <c r="H20" s="42">
        <v>7.3986612800053155E-4</v>
      </c>
      <c r="I20" s="42">
        <v>7.9405179489195601E-4</v>
      </c>
      <c r="J20" s="42">
        <v>7.7334837830771565E-4</v>
      </c>
      <c r="K20" s="42">
        <v>7.3990975634588736E-4</v>
      </c>
      <c r="L20" s="42">
        <v>7.3793795106996685E-4</v>
      </c>
      <c r="M20" s="42">
        <v>7.132743222127315E-4</v>
      </c>
      <c r="N20" s="43">
        <v>7.4076401952025432E-4</v>
      </c>
    </row>
    <row r="21" spans="1:14">
      <c r="A21" s="30" t="s">
        <v>77</v>
      </c>
      <c r="B21" s="41">
        <v>5.9175450088330452E-3</v>
      </c>
      <c r="C21" s="42">
        <v>5.7377678830328582E-3</v>
      </c>
      <c r="D21" s="42">
        <v>5.6914320873711734E-3</v>
      </c>
      <c r="E21" s="42">
        <v>5.6796825589743938E-3</v>
      </c>
      <c r="F21" s="42">
        <v>5.9336072035721041E-3</v>
      </c>
      <c r="G21" s="42">
        <v>5.8718469405230839E-3</v>
      </c>
      <c r="H21" s="42">
        <v>5.9568979200955129E-3</v>
      </c>
      <c r="I21" s="42">
        <v>6.1631232833362212E-3</v>
      </c>
      <c r="J21" s="42">
        <v>6.2454991216120137E-3</v>
      </c>
      <c r="K21" s="42">
        <v>5.7832134792133215E-3</v>
      </c>
      <c r="L21" s="42">
        <v>6.0139785298895078E-3</v>
      </c>
      <c r="M21" s="42">
        <v>5.6757203187342495E-3</v>
      </c>
      <c r="N21" s="43">
        <v>6.0686531114333558E-3</v>
      </c>
    </row>
    <row r="22" spans="1:14">
      <c r="A22" s="30" t="s">
        <v>88</v>
      </c>
      <c r="B22" s="41">
        <v>4.5188001266191742E-3</v>
      </c>
      <c r="C22" s="42">
        <v>4.5356809438424012E-3</v>
      </c>
      <c r="D22" s="42">
        <v>4.6333393188946149E-3</v>
      </c>
      <c r="E22" s="42">
        <v>4.7084984796411456E-3</v>
      </c>
      <c r="F22" s="42">
        <v>4.4907949583029494E-3</v>
      </c>
      <c r="G22" s="42">
        <v>4.54741924171621E-3</v>
      </c>
      <c r="H22" s="42">
        <v>4.6759750227945212E-3</v>
      </c>
      <c r="I22" s="42">
        <v>4.5119226682858336E-3</v>
      </c>
      <c r="J22" s="42">
        <v>4.5139510029218437E-3</v>
      </c>
      <c r="K22" s="42">
        <v>4.594290636739968E-3</v>
      </c>
      <c r="L22" s="42">
        <v>4.4694873445799109E-3</v>
      </c>
      <c r="M22" s="42">
        <v>4.4240674214272024E-3</v>
      </c>
      <c r="N22" s="43">
        <v>4.2766027813818316E-3</v>
      </c>
    </row>
    <row r="23" spans="1:14">
      <c r="A23" s="30" t="s">
        <v>43</v>
      </c>
      <c r="B23" s="41">
        <v>1.5160034308363657E-2</v>
      </c>
      <c r="C23" s="42">
        <v>1.5472803561554532E-2</v>
      </c>
      <c r="D23" s="42">
        <v>1.4953605463980758E-2</v>
      </c>
      <c r="E23" s="42">
        <v>1.4941380094214984E-2</v>
      </c>
      <c r="F23" s="42">
        <v>1.5026783527391395E-2</v>
      </c>
      <c r="G23" s="42">
        <v>1.5478297273125155E-2</v>
      </c>
      <c r="H23" s="42">
        <v>1.5362109889368128E-2</v>
      </c>
      <c r="I23" s="42">
        <v>1.5618940562116837E-2</v>
      </c>
      <c r="J23" s="42">
        <v>1.5670625146206877E-2</v>
      </c>
      <c r="K23" s="42">
        <v>1.5104105818824862E-2</v>
      </c>
      <c r="L23" s="42">
        <v>1.5089320700065767E-2</v>
      </c>
      <c r="M23" s="42">
        <v>1.4692567725728136E-2</v>
      </c>
      <c r="N23" s="43">
        <v>1.4715015361500324E-2</v>
      </c>
    </row>
    <row r="24" spans="1:14">
      <c r="A24" s="30" t="s">
        <v>103</v>
      </c>
      <c r="B24" s="41">
        <v>2.5003734847748801E-3</v>
      </c>
      <c r="C24" s="42">
        <v>2.6567713065930696E-3</v>
      </c>
      <c r="D24" s="42">
        <v>2.4360590807078926E-3</v>
      </c>
      <c r="E24" s="42">
        <v>2.5815715851569762E-3</v>
      </c>
      <c r="F24" s="42">
        <v>2.5397066281767954E-3</v>
      </c>
      <c r="G24" s="42">
        <v>2.5395738017762338E-3</v>
      </c>
      <c r="H24" s="42">
        <v>2.4431929943167945E-3</v>
      </c>
      <c r="I24" s="42">
        <v>2.50301045614781E-3</v>
      </c>
      <c r="J24" s="42">
        <v>2.618651181351571E-3</v>
      </c>
      <c r="K24" s="42">
        <v>2.3736229913467626E-3</v>
      </c>
      <c r="L24" s="42">
        <v>2.3579491021323384E-3</v>
      </c>
      <c r="M24" s="42">
        <v>2.5695541836741002E-3</v>
      </c>
      <c r="N24" s="43">
        <v>2.4538743454713876E-3</v>
      </c>
    </row>
    <row r="25" spans="1:14">
      <c r="A25" s="30" t="s">
        <v>61</v>
      </c>
      <c r="B25" s="41">
        <v>7.8108568628741512E-3</v>
      </c>
      <c r="C25" s="42">
        <v>7.8014542691387532E-3</v>
      </c>
      <c r="D25" s="42">
        <v>7.7908837970856112E-3</v>
      </c>
      <c r="E25" s="42">
        <v>8.1532197621893166E-3</v>
      </c>
      <c r="F25" s="42">
        <v>7.9282142325114817E-3</v>
      </c>
      <c r="G25" s="42">
        <v>7.9824497019222139E-3</v>
      </c>
      <c r="H25" s="42">
        <v>7.7672759795579683E-3</v>
      </c>
      <c r="I25" s="42">
        <v>7.6172670348620772E-3</v>
      </c>
      <c r="J25" s="42">
        <v>7.6500025227853388E-3</v>
      </c>
      <c r="K25" s="42">
        <v>7.8861148919858442E-3</v>
      </c>
      <c r="L25" s="42">
        <v>7.7142566159805427E-3</v>
      </c>
      <c r="M25" s="42">
        <v>7.9047577826399183E-3</v>
      </c>
      <c r="N25" s="43">
        <v>7.6586768907066288E-3</v>
      </c>
    </row>
    <row r="26" spans="1:14">
      <c r="A26" s="30" t="s">
        <v>73</v>
      </c>
      <c r="B26" s="41">
        <v>6.339817864795377E-3</v>
      </c>
      <c r="C26" s="42">
        <v>6.3433096629935083E-3</v>
      </c>
      <c r="D26" s="42">
        <v>6.4142047023341758E-3</v>
      </c>
      <c r="E26" s="42">
        <v>6.4404246651496837E-3</v>
      </c>
      <c r="F26" s="42">
        <v>6.4742433465209866E-3</v>
      </c>
      <c r="G26" s="42">
        <v>6.3829151001612043E-3</v>
      </c>
      <c r="H26" s="42">
        <v>6.2717233501855462E-3</v>
      </c>
      <c r="I26" s="42">
        <v>6.4664743663481235E-3</v>
      </c>
      <c r="J26" s="42">
        <v>6.3808121534036965E-3</v>
      </c>
      <c r="K26" s="42">
        <v>6.365006819650164E-3</v>
      </c>
      <c r="L26" s="42">
        <v>6.3881260173618247E-3</v>
      </c>
      <c r="M26" s="42">
        <v>6.2741640999096375E-3</v>
      </c>
      <c r="N26" s="43">
        <v>6.0188947202231566E-3</v>
      </c>
    </row>
    <row r="27" spans="1:14">
      <c r="A27" s="30" t="s">
        <v>102</v>
      </c>
      <c r="B27" s="41">
        <v>2.538108505945982E-3</v>
      </c>
      <c r="C27" s="42">
        <v>2.5681891947816832E-3</v>
      </c>
      <c r="D27" s="42">
        <v>2.5660680461776397E-3</v>
      </c>
      <c r="E27" s="42">
        <v>2.5157381336610375E-3</v>
      </c>
      <c r="F27" s="42">
        <v>2.5157155506259159E-3</v>
      </c>
      <c r="G27" s="42">
        <v>2.6243893686949005E-3</v>
      </c>
      <c r="H27" s="42">
        <v>2.5080565251393641E-3</v>
      </c>
      <c r="I27" s="42">
        <v>2.6340581240089519E-3</v>
      </c>
      <c r="J27" s="42">
        <v>2.5879190690463413E-3</v>
      </c>
      <c r="K27" s="42">
        <v>2.6349608063655698E-3</v>
      </c>
      <c r="L27" s="42">
        <v>2.6004760778641054E-3</v>
      </c>
      <c r="M27" s="42">
        <v>2.4706232560111579E-3</v>
      </c>
      <c r="N27" s="43">
        <v>2.3087145275047924E-3</v>
      </c>
    </row>
    <row r="28" spans="1:14">
      <c r="A28" s="30" t="s">
        <v>108</v>
      </c>
      <c r="B28" s="41">
        <v>1.6023802733177253E-3</v>
      </c>
      <c r="C28" s="42">
        <v>1.6823680766678178E-3</v>
      </c>
      <c r="D28" s="42">
        <v>1.5517406720176297E-3</v>
      </c>
      <c r="E28" s="42">
        <v>1.6154516174772622E-3</v>
      </c>
      <c r="F28" s="42">
        <v>1.601264943512171E-3</v>
      </c>
      <c r="G28" s="42">
        <v>1.6196511144276173E-3</v>
      </c>
      <c r="H28" s="42">
        <v>1.602603822518614E-3</v>
      </c>
      <c r="I28" s="42">
        <v>1.6162545702874166E-3</v>
      </c>
      <c r="J28" s="42">
        <v>1.7090723947654498E-3</v>
      </c>
      <c r="K28" s="42">
        <v>1.5980549334902298E-3</v>
      </c>
      <c r="L28" s="42">
        <v>1.5738360862878182E-3</v>
      </c>
      <c r="M28" s="42">
        <v>1.5166464535470712E-3</v>
      </c>
      <c r="N28" s="43">
        <v>1.5716917404063576E-3</v>
      </c>
    </row>
    <row r="29" spans="1:14">
      <c r="A29" s="30" t="s">
        <v>47</v>
      </c>
      <c r="B29" s="41">
        <v>1.4303244564098868E-2</v>
      </c>
      <c r="C29" s="42">
        <v>1.4840271919401351E-2</v>
      </c>
      <c r="D29" s="42">
        <v>1.4478622213898215E-2</v>
      </c>
      <c r="E29" s="42">
        <v>1.4567761189998717E-2</v>
      </c>
      <c r="F29" s="42">
        <v>1.4693140169823354E-2</v>
      </c>
      <c r="G29" s="42">
        <v>1.4572510513596315E-2</v>
      </c>
      <c r="H29" s="42">
        <v>1.4581110790602066E-2</v>
      </c>
      <c r="I29" s="42">
        <v>1.4428833593244541E-2</v>
      </c>
      <c r="J29" s="42">
        <v>1.4755542100700417E-2</v>
      </c>
      <c r="K29" s="42">
        <v>1.4346836099901424E-2</v>
      </c>
      <c r="L29" s="42">
        <v>1.4090299438821924E-2</v>
      </c>
      <c r="M29" s="42">
        <v>1.382294720533379E-2</v>
      </c>
      <c r="N29" s="43">
        <v>1.3182232438280889E-2</v>
      </c>
    </row>
    <row r="30" spans="1:14">
      <c r="A30" s="30" t="s">
        <v>69</v>
      </c>
      <c r="B30" s="41">
        <v>6.6294122133177882E-3</v>
      </c>
      <c r="C30" s="42">
        <v>6.397981435127098E-3</v>
      </c>
      <c r="D30" s="42">
        <v>6.6143670204583914E-3</v>
      </c>
      <c r="E30" s="42">
        <v>6.504570079427778E-3</v>
      </c>
      <c r="F30" s="42">
        <v>6.5685338606163027E-3</v>
      </c>
      <c r="G30" s="42">
        <v>6.5090510714761445E-3</v>
      </c>
      <c r="H30" s="42">
        <v>6.576001864694675E-3</v>
      </c>
      <c r="I30" s="42">
        <v>6.6213047591173989E-3</v>
      </c>
      <c r="J30" s="42">
        <v>6.6899680294294373E-3</v>
      </c>
      <c r="K30" s="42">
        <v>6.6099230484469636E-3</v>
      </c>
      <c r="L30" s="42">
        <v>6.6729441739151445E-3</v>
      </c>
      <c r="M30" s="42">
        <v>6.7621938993183486E-3</v>
      </c>
      <c r="N30" s="43">
        <v>6.8299939092736177E-3</v>
      </c>
    </row>
    <row r="31" spans="1:14">
      <c r="A31" s="30" t="s">
        <v>96</v>
      </c>
      <c r="B31" s="41">
        <v>3.1935194384460526E-3</v>
      </c>
      <c r="C31" s="42">
        <v>3.0560828574928357E-3</v>
      </c>
      <c r="D31" s="42">
        <v>2.991493423284091E-3</v>
      </c>
      <c r="E31" s="42">
        <v>3.2190869744296124E-3</v>
      </c>
      <c r="F31" s="42">
        <v>2.973777752236889E-3</v>
      </c>
      <c r="G31" s="42">
        <v>2.929399195883183E-3</v>
      </c>
      <c r="H31" s="42">
        <v>4.4550171413745478E-3</v>
      </c>
      <c r="I31" s="42">
        <v>2.9689577196540923E-3</v>
      </c>
      <c r="J31" s="42">
        <v>3.0245902767266171E-3</v>
      </c>
      <c r="K31" s="42">
        <v>3.5517545057313681E-3</v>
      </c>
      <c r="L31" s="42">
        <v>2.9504571762955342E-3</v>
      </c>
      <c r="M31" s="42">
        <v>2.9564447757845355E-3</v>
      </c>
      <c r="N31" s="43">
        <v>3.2391590308112938E-3</v>
      </c>
    </row>
    <row r="32" spans="1:14">
      <c r="A32" s="30" t="s">
        <v>31</v>
      </c>
      <c r="B32" s="41">
        <v>3.9737192084003253E-2</v>
      </c>
      <c r="C32" s="42">
        <v>4.1172688750833054E-2</v>
      </c>
      <c r="D32" s="42">
        <v>3.991597044291223E-2</v>
      </c>
      <c r="E32" s="42">
        <v>4.0797046159940398E-2</v>
      </c>
      <c r="F32" s="42">
        <v>3.9782227967682347E-2</v>
      </c>
      <c r="G32" s="42">
        <v>3.960506392429667E-2</v>
      </c>
      <c r="H32" s="42">
        <v>3.9563589727093285E-2</v>
      </c>
      <c r="I32" s="42">
        <v>3.928420793090779E-2</v>
      </c>
      <c r="J32" s="42">
        <v>3.8621550091049617E-2</v>
      </c>
      <c r="K32" s="42">
        <v>3.903598720242326E-2</v>
      </c>
      <c r="L32" s="42">
        <v>3.9418832866979565E-2</v>
      </c>
      <c r="M32" s="42">
        <v>3.9677926831745876E-2</v>
      </c>
      <c r="N32" s="43">
        <v>4.0480883050570987E-2</v>
      </c>
    </row>
    <row r="33" spans="1:14">
      <c r="A33" s="30" t="s">
        <v>41</v>
      </c>
      <c r="B33" s="41">
        <v>1.8542855680259422E-2</v>
      </c>
      <c r="C33" s="42">
        <v>1.8818854425679953E-2</v>
      </c>
      <c r="D33" s="42">
        <v>1.8288142345657798E-2</v>
      </c>
      <c r="E33" s="42">
        <v>1.8417611404829587E-2</v>
      </c>
      <c r="F33" s="42">
        <v>1.886702973164027E-2</v>
      </c>
      <c r="G33" s="42">
        <v>1.9171036571276338E-2</v>
      </c>
      <c r="H33" s="42">
        <v>1.910151880857823E-2</v>
      </c>
      <c r="I33" s="42">
        <v>1.8729138546021273E-2</v>
      </c>
      <c r="J33" s="42">
        <v>1.8458073601115531E-2</v>
      </c>
      <c r="K33" s="42">
        <v>1.8420797047492634E-2</v>
      </c>
      <c r="L33" s="42">
        <v>1.8426440101015507E-2</v>
      </c>
      <c r="M33" s="42">
        <v>1.804606117994564E-2</v>
      </c>
      <c r="N33" s="43">
        <v>1.812365222102004E-2</v>
      </c>
    </row>
    <row r="34" spans="1:14">
      <c r="A34" s="30" t="s">
        <v>90</v>
      </c>
      <c r="B34" s="41">
        <v>4.2076011203498534E-3</v>
      </c>
      <c r="C34" s="42">
        <v>4.0387906604004049E-3</v>
      </c>
      <c r="D34" s="42">
        <v>4.1390478066135944E-3</v>
      </c>
      <c r="E34" s="42">
        <v>4.1289390348478406E-3</v>
      </c>
      <c r="F34" s="42">
        <v>4.166078513311979E-3</v>
      </c>
      <c r="G34" s="42">
        <v>4.083652071321193E-3</v>
      </c>
      <c r="H34" s="42">
        <v>4.1707777664691404E-3</v>
      </c>
      <c r="I34" s="42">
        <v>4.2867148242577971E-3</v>
      </c>
      <c r="J34" s="42">
        <v>4.3566209354488038E-3</v>
      </c>
      <c r="K34" s="42">
        <v>4.2475605733667205E-3</v>
      </c>
      <c r="L34" s="42">
        <v>4.2601891537793644E-3</v>
      </c>
      <c r="M34" s="42">
        <v>4.2690461910267884E-3</v>
      </c>
      <c r="N34" s="43">
        <v>4.218239555601448E-3</v>
      </c>
    </row>
    <row r="35" spans="1:14">
      <c r="A35" s="30" t="s">
        <v>82</v>
      </c>
      <c r="B35" s="41">
        <v>5.4891292424475114E-3</v>
      </c>
      <c r="C35" s="42">
        <v>5.195894495936642E-3</v>
      </c>
      <c r="D35" s="42">
        <v>5.1398593972346706E-3</v>
      </c>
      <c r="E35" s="42">
        <v>5.1502015516438106E-3</v>
      </c>
      <c r="F35" s="42">
        <v>5.1993686441079868E-3</v>
      </c>
      <c r="G35" s="42">
        <v>5.4635361023441173E-3</v>
      </c>
      <c r="H35" s="42">
        <v>5.4638296166881735E-3</v>
      </c>
      <c r="I35" s="42">
        <v>5.5229311577479024E-3</v>
      </c>
      <c r="J35" s="42">
        <v>5.5551733153527544E-3</v>
      </c>
      <c r="K35" s="42">
        <v>5.6415186495262842E-3</v>
      </c>
      <c r="L35" s="42">
        <v>5.8038172537660726E-3</v>
      </c>
      <c r="M35" s="42">
        <v>5.7976173546046604E-3</v>
      </c>
      <c r="N35" s="43">
        <v>5.5703209528470028E-3</v>
      </c>
    </row>
    <row r="36" spans="1:14">
      <c r="A36" s="30" t="s">
        <v>45</v>
      </c>
      <c r="B36" s="41">
        <v>1.4805249890043993E-2</v>
      </c>
      <c r="C36" s="42">
        <v>1.4353070304438725E-2</v>
      </c>
      <c r="D36" s="42">
        <v>1.4551993610252429E-2</v>
      </c>
      <c r="E36" s="42">
        <v>1.4748943851380703E-2</v>
      </c>
      <c r="F36" s="42">
        <v>1.4589922743150966E-2</v>
      </c>
      <c r="G36" s="42">
        <v>1.4567617307812546E-2</v>
      </c>
      <c r="H36" s="42">
        <v>1.4748279402559419E-2</v>
      </c>
      <c r="I36" s="42">
        <v>1.4483679469053093E-2</v>
      </c>
      <c r="J36" s="42">
        <v>1.4987179663598043E-2</v>
      </c>
      <c r="K36" s="42">
        <v>1.5175422421846153E-2</v>
      </c>
      <c r="L36" s="42">
        <v>1.4954679389695106E-2</v>
      </c>
      <c r="M36" s="42">
        <v>1.5079458317838572E-2</v>
      </c>
      <c r="N36" s="43">
        <v>1.5025163529269157E-2</v>
      </c>
    </row>
    <row r="37" spans="1:14">
      <c r="A37" s="30" t="s">
        <v>78</v>
      </c>
      <c r="B37" s="41">
        <v>5.8037549062318157E-3</v>
      </c>
      <c r="C37" s="42">
        <v>5.9571470193157446E-3</v>
      </c>
      <c r="D37" s="42">
        <v>5.8433237499991957E-3</v>
      </c>
      <c r="E37" s="42">
        <v>5.8062853503127367E-3</v>
      </c>
      <c r="F37" s="42">
        <v>5.8733505436768729E-3</v>
      </c>
      <c r="G37" s="42">
        <v>5.7440799006135534E-3</v>
      </c>
      <c r="H37" s="42">
        <v>5.7475416458145356E-3</v>
      </c>
      <c r="I37" s="42">
        <v>5.7403732140508335E-3</v>
      </c>
      <c r="J37" s="42">
        <v>5.8083692256883767E-3</v>
      </c>
      <c r="K37" s="42">
        <v>5.8587527758345564E-3</v>
      </c>
      <c r="L37" s="42">
        <v>5.9777289463281763E-3</v>
      </c>
      <c r="M37" s="42">
        <v>5.7384354603777221E-3</v>
      </c>
      <c r="N37" s="43">
        <v>5.6361666434710253E-3</v>
      </c>
    </row>
    <row r="38" spans="1:14">
      <c r="A38" s="30" t="s">
        <v>109</v>
      </c>
      <c r="B38" s="41">
        <v>1.2896768808223142E-3</v>
      </c>
      <c r="C38" s="42">
        <v>1.2816724302709989E-3</v>
      </c>
      <c r="D38" s="42">
        <v>1.2138460835442761E-3</v>
      </c>
      <c r="E38" s="42">
        <v>1.1968183874518066E-3</v>
      </c>
      <c r="F38" s="42">
        <v>1.2838016149900717E-3</v>
      </c>
      <c r="G38" s="42">
        <v>1.3168160453654546E-3</v>
      </c>
      <c r="H38" s="42">
        <v>1.3500051943559235E-3</v>
      </c>
      <c r="I38" s="42">
        <v>1.3463934468400281E-3</v>
      </c>
      <c r="J38" s="42">
        <v>1.3508368767000134E-3</v>
      </c>
      <c r="K38" s="42">
        <v>1.3221722849605013E-3</v>
      </c>
      <c r="L38" s="42">
        <v>1.3049850082079413E-3</v>
      </c>
      <c r="M38" s="42">
        <v>1.2874270273994504E-3</v>
      </c>
      <c r="N38" s="43">
        <v>1.211411058185143E-3</v>
      </c>
    </row>
    <row r="39" spans="1:14">
      <c r="A39" s="30" t="s">
        <v>29</v>
      </c>
      <c r="B39" s="41">
        <v>7.5411329490880183E-2</v>
      </c>
      <c r="C39" s="42">
        <v>7.7114188570554618E-2</v>
      </c>
      <c r="D39" s="42">
        <v>7.7561289251283513E-2</v>
      </c>
      <c r="E39" s="42">
        <v>7.6590187327116852E-2</v>
      </c>
      <c r="F39" s="42">
        <v>7.5399493286124844E-2</v>
      </c>
      <c r="G39" s="42">
        <v>7.6013233403197433E-2</v>
      </c>
      <c r="H39" s="42">
        <v>7.4378430713883795E-2</v>
      </c>
      <c r="I39" s="42">
        <v>7.4565152289524095E-2</v>
      </c>
      <c r="J39" s="42">
        <v>7.5034974978556324E-2</v>
      </c>
      <c r="K39" s="42">
        <v>7.592356173883015E-2</v>
      </c>
      <c r="L39" s="42">
        <v>7.5107842511094966E-2</v>
      </c>
      <c r="M39" s="42">
        <v>7.5539063141781271E-2</v>
      </c>
      <c r="N39" s="43">
        <v>7.3489402585041955E-2</v>
      </c>
    </row>
    <row r="40" spans="1:14">
      <c r="A40" s="30" t="s">
        <v>79</v>
      </c>
      <c r="B40" s="41">
        <v>5.5495136340225305E-3</v>
      </c>
      <c r="C40" s="42">
        <v>5.4644090223649067E-3</v>
      </c>
      <c r="D40" s="42">
        <v>5.3046232346616777E-3</v>
      </c>
      <c r="E40" s="42">
        <v>5.4017190971026533E-3</v>
      </c>
      <c r="F40" s="42">
        <v>5.5257588852071571E-3</v>
      </c>
      <c r="G40" s="42">
        <v>5.6907983265236219E-3</v>
      </c>
      <c r="H40" s="42">
        <v>5.6636936669463359E-3</v>
      </c>
      <c r="I40" s="42">
        <v>5.9112205440031377E-3</v>
      </c>
      <c r="J40" s="42">
        <v>5.9198304688252538E-3</v>
      </c>
      <c r="K40" s="42">
        <v>5.6598169884593784E-3</v>
      </c>
      <c r="L40" s="42">
        <v>5.504326646723642E-3</v>
      </c>
      <c r="M40" s="42">
        <v>5.3462449971424858E-3</v>
      </c>
      <c r="N40" s="43">
        <v>5.2164003657428817E-3</v>
      </c>
    </row>
    <row r="41" spans="1:14">
      <c r="A41" s="30" t="s">
        <v>40</v>
      </c>
      <c r="B41" s="41">
        <v>1.8676662477368912E-2</v>
      </c>
      <c r="C41" s="42">
        <v>1.9218165976579719E-2</v>
      </c>
      <c r="D41" s="42">
        <v>1.8575835452415111E-2</v>
      </c>
      <c r="E41" s="42">
        <v>1.8329270790429054E-2</v>
      </c>
      <c r="F41" s="42">
        <v>1.8447464840517916E-2</v>
      </c>
      <c r="G41" s="42">
        <v>1.8117909948702892E-2</v>
      </c>
      <c r="H41" s="42">
        <v>1.8710228240526629E-2</v>
      </c>
      <c r="I41" s="42">
        <v>1.8267559538110361E-2</v>
      </c>
      <c r="J41" s="42">
        <v>1.880346584836684E-2</v>
      </c>
      <c r="K41" s="42">
        <v>1.8801777847843211E-2</v>
      </c>
      <c r="L41" s="42">
        <v>1.9165241137408362E-2</v>
      </c>
      <c r="M41" s="42">
        <v>1.9054803317366E-2</v>
      </c>
      <c r="N41" s="43">
        <v>1.8556138688982371E-2</v>
      </c>
    </row>
    <row r="42" spans="1:14">
      <c r="A42" s="30" t="s">
        <v>99</v>
      </c>
      <c r="B42" s="41">
        <v>3.0348484800997908E-3</v>
      </c>
      <c r="C42" s="42">
        <v>2.9654246024358698E-3</v>
      </c>
      <c r="D42" s="42">
        <v>3.0449129486998781E-3</v>
      </c>
      <c r="E42" s="42">
        <v>3.0519712898629987E-3</v>
      </c>
      <c r="F42" s="42">
        <v>2.9810308687057596E-3</v>
      </c>
      <c r="G42" s="42">
        <v>2.9658263944956874E-3</v>
      </c>
      <c r="H42" s="42">
        <v>3.0011248285467034E-3</v>
      </c>
      <c r="I42" s="42">
        <v>3.0291425745236538E-3</v>
      </c>
      <c r="J42" s="42">
        <v>3.1323820139166013E-3</v>
      </c>
      <c r="K42" s="42">
        <v>3.1308927102702009E-3</v>
      </c>
      <c r="L42" s="42">
        <v>3.0268402273711977E-3</v>
      </c>
      <c r="M42" s="42">
        <v>3.1423819210796189E-3</v>
      </c>
      <c r="N42" s="43">
        <v>2.9267661235893683E-3</v>
      </c>
    </row>
    <row r="43" spans="1:14">
      <c r="A43" s="30" t="s">
        <v>38</v>
      </c>
      <c r="B43" s="41">
        <v>1.9990075229758431E-2</v>
      </c>
      <c r="C43" s="42">
        <v>2.0044470988320309E-2</v>
      </c>
      <c r="D43" s="42">
        <v>2.0096039296175226E-2</v>
      </c>
      <c r="E43" s="42">
        <v>2.0394865665998203E-2</v>
      </c>
      <c r="F43" s="42">
        <v>2.0194350045443565E-2</v>
      </c>
      <c r="G43" s="42">
        <v>2.006214371345387E-2</v>
      </c>
      <c r="H43" s="42">
        <v>2.026167952247785E-2</v>
      </c>
      <c r="I43" s="42">
        <v>2.0073105184197203E-2</v>
      </c>
      <c r="J43" s="42">
        <v>2.0025870016925598E-2</v>
      </c>
      <c r="K43" s="42">
        <v>1.9574999964810887E-2</v>
      </c>
      <c r="L43" s="42">
        <v>2.0156926173407651E-2</v>
      </c>
      <c r="M43" s="42">
        <v>1.9600248387293382E-2</v>
      </c>
      <c r="N43" s="43">
        <v>1.9674018936622028E-2</v>
      </c>
    </row>
    <row r="44" spans="1:14">
      <c r="A44" s="30" t="s">
        <v>55</v>
      </c>
      <c r="B44" s="41">
        <v>1.102990907865746E-2</v>
      </c>
      <c r="C44" s="42">
        <v>1.1461694811095186E-2</v>
      </c>
      <c r="D44" s="42">
        <v>1.1315285257047676E-2</v>
      </c>
      <c r="E44" s="42">
        <v>1.1413382308919813E-2</v>
      </c>
      <c r="F44" s="42">
        <v>1.1028642556935569E-2</v>
      </c>
      <c r="G44" s="42">
        <v>1.1070606241012132E-2</v>
      </c>
      <c r="H44" s="42">
        <v>1.0947698372980067E-2</v>
      </c>
      <c r="I44" s="42">
        <v>1.0940538819474072E-2</v>
      </c>
      <c r="J44" s="42">
        <v>1.0862196291046865E-2</v>
      </c>
      <c r="K44" s="42">
        <v>1.0840592847413906E-2</v>
      </c>
      <c r="L44" s="42">
        <v>1.0896020658810289E-2</v>
      </c>
      <c r="M44" s="42">
        <v>1.0942025593077661E-2</v>
      </c>
      <c r="N44" s="43">
        <v>1.0953954407845214E-2</v>
      </c>
    </row>
    <row r="45" spans="1:14">
      <c r="A45" s="30" t="s">
        <v>53</v>
      </c>
      <c r="B45" s="41">
        <v>1.1555692064676071E-2</v>
      </c>
      <c r="C45" s="42">
        <v>1.1030549063763204E-2</v>
      </c>
      <c r="D45" s="42">
        <v>1.08699080090028E-2</v>
      </c>
      <c r="E45" s="42">
        <v>1.0993623720749128E-2</v>
      </c>
      <c r="F45" s="42">
        <v>1.1433143283084115E-2</v>
      </c>
      <c r="G45" s="42">
        <v>1.2461364062665655E-2</v>
      </c>
      <c r="H45" s="42">
        <v>1.2161121010563263E-2</v>
      </c>
      <c r="I45" s="42">
        <v>1.1974359310378636E-2</v>
      </c>
      <c r="J45" s="42">
        <v>1.1672239728823511E-2</v>
      </c>
      <c r="K45" s="42">
        <v>1.1465551500205739E-2</v>
      </c>
      <c r="L45" s="42">
        <v>1.1475150910468707E-2</v>
      </c>
      <c r="M45" s="42">
        <v>1.1293142055095694E-2</v>
      </c>
      <c r="N45" s="43">
        <v>1.1587719180101432E-2</v>
      </c>
    </row>
    <row r="46" spans="1:14">
      <c r="A46" s="30" t="s">
        <v>92</v>
      </c>
      <c r="B46" s="41">
        <v>3.6532765845418047E-3</v>
      </c>
      <c r="C46" s="42">
        <v>3.7294453168090786E-3</v>
      </c>
      <c r="D46" s="42">
        <v>3.7091171683274991E-3</v>
      </c>
      <c r="E46" s="42">
        <v>3.8166521495465932E-3</v>
      </c>
      <c r="F46" s="42">
        <v>3.7275439329633501E-3</v>
      </c>
      <c r="G46" s="42">
        <v>3.6829528865836452E-3</v>
      </c>
      <c r="H46" s="42">
        <v>3.640267912749586E-3</v>
      </c>
      <c r="I46" s="42">
        <v>3.6775858495698968E-3</v>
      </c>
      <c r="J46" s="42">
        <v>3.4681418080573178E-3</v>
      </c>
      <c r="K46" s="42">
        <v>3.6263554259970601E-3</v>
      </c>
      <c r="L46" s="42">
        <v>3.5507330183647294E-3</v>
      </c>
      <c r="M46" s="42">
        <v>3.6502862372063318E-3</v>
      </c>
      <c r="N46" s="43">
        <v>3.6551840761176184E-3</v>
      </c>
    </row>
    <row r="47" spans="1:14">
      <c r="A47" s="30" t="s">
        <v>74</v>
      </c>
      <c r="B47" s="41">
        <v>6.2600018178000233E-3</v>
      </c>
      <c r="C47" s="42">
        <v>6.112857762734198E-3</v>
      </c>
      <c r="D47" s="42">
        <v>6.3041476078028553E-3</v>
      </c>
      <c r="E47" s="42">
        <v>6.2479884223154017E-3</v>
      </c>
      <c r="F47" s="42">
        <v>6.2326587749039937E-3</v>
      </c>
      <c r="G47" s="42">
        <v>6.2426432010264862E-3</v>
      </c>
      <c r="H47" s="42">
        <v>6.328149348543392E-3</v>
      </c>
      <c r="I47" s="42">
        <v>6.2995099302583729E-3</v>
      </c>
      <c r="J47" s="42">
        <v>6.0826647952186338E-3</v>
      </c>
      <c r="K47" s="42">
        <v>6.1449575642752614E-3</v>
      </c>
      <c r="L47" s="42">
        <v>6.1762385705926119E-3</v>
      </c>
      <c r="M47" s="42">
        <v>6.3876696731657813E-3</v>
      </c>
      <c r="N47" s="43">
        <v>6.4742027059585859E-3</v>
      </c>
    </row>
    <row r="48" spans="1:14">
      <c r="A48" s="30" t="s">
        <v>42</v>
      </c>
      <c r="B48" s="41">
        <v>1.7394256796639369E-2</v>
      </c>
      <c r="C48" s="42">
        <v>1.6956553934395258E-2</v>
      </c>
      <c r="D48" s="42">
        <v>1.6854825681790829E-2</v>
      </c>
      <c r="E48" s="42">
        <v>1.6898940587842082E-2</v>
      </c>
      <c r="F48" s="42">
        <v>1.6944395935353532E-2</v>
      </c>
      <c r="G48" s="42">
        <v>1.7354569846434891E-2</v>
      </c>
      <c r="H48" s="42">
        <v>1.7254226544582602E-2</v>
      </c>
      <c r="I48" s="42">
        <v>1.7579316600972957E-2</v>
      </c>
      <c r="J48" s="42">
        <v>1.7802149413108391E-2</v>
      </c>
      <c r="K48" s="42">
        <v>1.7377322540128491E-2</v>
      </c>
      <c r="L48" s="42">
        <v>1.7915493589865307E-2</v>
      </c>
      <c r="M48" s="42">
        <v>1.7488691399987457E-2</v>
      </c>
      <c r="N48" s="43">
        <v>1.770837542219808E-2</v>
      </c>
    </row>
    <row r="49" spans="1:14">
      <c r="A49" s="30" t="s">
        <v>50</v>
      </c>
      <c r="B49" s="41">
        <v>1.2550383879665818E-2</v>
      </c>
      <c r="C49" s="42">
        <v>1.2588348545696258E-2</v>
      </c>
      <c r="D49" s="42">
        <v>1.3116746120165614E-2</v>
      </c>
      <c r="E49" s="42">
        <v>1.2964125833046366E-2</v>
      </c>
      <c r="F49" s="42">
        <v>1.2657246170215021E-2</v>
      </c>
      <c r="G49" s="42">
        <v>1.2719616590142365E-2</v>
      </c>
      <c r="H49" s="42">
        <v>1.2994854687233855E-2</v>
      </c>
      <c r="I49" s="42">
        <v>1.2668426588309868E-2</v>
      </c>
      <c r="J49" s="42">
        <v>1.2165788278680629E-2</v>
      </c>
      <c r="K49" s="42">
        <v>1.2566736153435794E-2</v>
      </c>
      <c r="L49" s="42">
        <v>1.2116423305375122E-2</v>
      </c>
      <c r="M49" s="42">
        <v>1.2390215377929394E-2</v>
      </c>
      <c r="N49" s="43">
        <v>1.2143666317983805E-2</v>
      </c>
    </row>
    <row r="50" spans="1:14">
      <c r="A50" s="30" t="s">
        <v>98</v>
      </c>
      <c r="B50" s="41">
        <v>3.0528593263065961E-3</v>
      </c>
      <c r="C50" s="42">
        <v>3.1335922053277987E-3</v>
      </c>
      <c r="D50" s="42">
        <v>3.0964016478958177E-3</v>
      </c>
      <c r="E50" s="42">
        <v>3.0739157736949783E-3</v>
      </c>
      <c r="F50" s="42">
        <v>3.0145067908697769E-3</v>
      </c>
      <c r="G50" s="42">
        <v>3.0800011961169692E-3</v>
      </c>
      <c r="H50" s="42">
        <v>2.9779216142687111E-3</v>
      </c>
      <c r="I50" s="42">
        <v>3.0451595117066822E-3</v>
      </c>
      <c r="J50" s="42">
        <v>3.0525702595716768E-3</v>
      </c>
      <c r="K50" s="42">
        <v>3.03377075747147E-3</v>
      </c>
      <c r="L50" s="42">
        <v>3.0557535856879738E-3</v>
      </c>
      <c r="M50" s="42">
        <v>3.029318003750542E-3</v>
      </c>
      <c r="N50" s="43">
        <v>3.0689329556185078E-3</v>
      </c>
    </row>
    <row r="51" spans="1:14">
      <c r="A51" s="30" t="s">
        <v>101</v>
      </c>
      <c r="B51" s="41">
        <v>2.5986600515461224E-3</v>
      </c>
      <c r="C51" s="42">
        <v>2.5259742821215694E-3</v>
      </c>
      <c r="D51" s="42">
        <v>2.4733883876249486E-3</v>
      </c>
      <c r="E51" s="42">
        <v>2.5883237340283546E-3</v>
      </c>
      <c r="F51" s="42">
        <v>2.4811237643897646E-3</v>
      </c>
      <c r="G51" s="42">
        <v>2.4949912601907806E-3</v>
      </c>
      <c r="H51" s="42">
        <v>2.6467484650282737E-3</v>
      </c>
      <c r="I51" s="42">
        <v>2.7403523434963227E-3</v>
      </c>
      <c r="J51" s="42">
        <v>2.5544348272809421E-3</v>
      </c>
      <c r="K51" s="42">
        <v>2.5885111767661767E-3</v>
      </c>
      <c r="L51" s="42">
        <v>2.5202091428354425E-3</v>
      </c>
      <c r="M51" s="42">
        <v>2.5147888487178287E-3</v>
      </c>
      <c r="N51" s="43">
        <v>2.9076858382380889E-3</v>
      </c>
    </row>
    <row r="52" spans="1:14">
      <c r="A52" s="30" t="s">
        <v>110</v>
      </c>
      <c r="B52" s="41">
        <v>1.2259494087448718E-3</v>
      </c>
      <c r="C52" s="42">
        <v>1.2055471779330886E-3</v>
      </c>
      <c r="D52" s="42">
        <v>1.1855272989865094E-3</v>
      </c>
      <c r="E52" s="42">
        <v>1.1709351501115229E-3</v>
      </c>
      <c r="F52" s="42">
        <v>1.209038722157099E-3</v>
      </c>
      <c r="G52" s="42">
        <v>1.2113402762486509E-3</v>
      </c>
      <c r="H52" s="42">
        <v>1.6263343825756516E-3</v>
      </c>
      <c r="I52" s="42">
        <v>1.244952844680848E-3</v>
      </c>
      <c r="J52" s="42">
        <v>1.2435038277533908E-3</v>
      </c>
      <c r="K52" s="42">
        <v>1.1692169390069445E-3</v>
      </c>
      <c r="L52" s="42">
        <v>1.1647336432385033E-3</v>
      </c>
      <c r="M52" s="42">
        <v>1.1999791538402425E-3</v>
      </c>
      <c r="N52" s="43">
        <v>1.1257368357254773E-3</v>
      </c>
    </row>
    <row r="53" spans="1:14">
      <c r="A53" s="30" t="s">
        <v>35</v>
      </c>
      <c r="B53" s="41">
        <v>2.4923835223740885E-2</v>
      </c>
      <c r="C53" s="42">
        <v>2.3674261429341578E-2</v>
      </c>
      <c r="D53" s="42">
        <v>2.3963484214530241E-2</v>
      </c>
      <c r="E53" s="42">
        <v>2.4021332289000975E-2</v>
      </c>
      <c r="F53" s="42">
        <v>2.4672870498953042E-2</v>
      </c>
      <c r="G53" s="42">
        <v>2.4530727973098243E-2</v>
      </c>
      <c r="H53" s="42">
        <v>2.4743063952804661E-2</v>
      </c>
      <c r="I53" s="42">
        <v>2.5126206184576273E-2</v>
      </c>
      <c r="J53" s="42">
        <v>2.5522331237128063E-2</v>
      </c>
      <c r="K53" s="42">
        <v>2.4708857005988249E-2</v>
      </c>
      <c r="L53" s="42">
        <v>2.5417862759076638E-2</v>
      </c>
      <c r="M53" s="42">
        <v>2.5176154466510555E-2</v>
      </c>
      <c r="N53" s="43">
        <v>2.6209951977540634E-2</v>
      </c>
    </row>
    <row r="54" spans="1:14">
      <c r="A54" s="30" t="s">
        <v>72</v>
      </c>
      <c r="B54" s="41">
        <v>6.4092285737269395E-3</v>
      </c>
      <c r="C54" s="42">
        <v>5.9910573589935408E-3</v>
      </c>
      <c r="D54" s="42">
        <v>6.3601415681784389E-3</v>
      </c>
      <c r="E54" s="42">
        <v>6.2806238085270638E-3</v>
      </c>
      <c r="F54" s="42">
        <v>6.2895678425828232E-3</v>
      </c>
      <c r="G54" s="42">
        <v>6.3725849990621357E-3</v>
      </c>
      <c r="H54" s="42">
        <v>6.5301227819177347E-3</v>
      </c>
      <c r="I54" s="42">
        <v>6.7382769367267887E-3</v>
      </c>
      <c r="J54" s="42">
        <v>6.6876745882126299E-3</v>
      </c>
      <c r="K54" s="42">
        <v>6.2458330224961656E-3</v>
      </c>
      <c r="L54" s="42">
        <v>6.3121745089476057E-3</v>
      </c>
      <c r="M54" s="42">
        <v>6.1672833655594941E-3</v>
      </c>
      <c r="N54" s="43">
        <v>6.7076556090801204E-3</v>
      </c>
    </row>
    <row r="55" spans="1:14">
      <c r="A55" s="30" t="s">
        <v>84</v>
      </c>
      <c r="B55" s="41">
        <v>5.0430369379054138E-3</v>
      </c>
      <c r="C55" s="42">
        <v>6.0367325103962872E-3</v>
      </c>
      <c r="D55" s="42">
        <v>5.6283584308561476E-3</v>
      </c>
      <c r="E55" s="42">
        <v>5.349389943349471E-3</v>
      </c>
      <c r="F55" s="42">
        <v>5.0883401689306622E-3</v>
      </c>
      <c r="G55" s="42">
        <v>5.1900602679845701E-3</v>
      </c>
      <c r="H55" s="42">
        <v>5.025605274301544E-3</v>
      </c>
      <c r="I55" s="42">
        <v>4.8676928184421923E-3</v>
      </c>
      <c r="J55" s="42">
        <v>4.8753973386908124E-3</v>
      </c>
      <c r="K55" s="42">
        <v>4.7552221817156425E-3</v>
      </c>
      <c r="L55" s="42">
        <v>4.8565811118955601E-3</v>
      </c>
      <c r="M55" s="42">
        <v>4.6965691284273602E-3</v>
      </c>
      <c r="N55" s="43">
        <v>4.7992529507100111E-3</v>
      </c>
    </row>
    <row r="56" spans="1:14">
      <c r="A56" s="30" t="s">
        <v>113</v>
      </c>
      <c r="B56" s="41">
        <v>4.5068904023292912E-4</v>
      </c>
      <c r="C56" s="42">
        <v>5.3426086186242501E-4</v>
      </c>
      <c r="D56" s="42">
        <v>5.0201481716041112E-4</v>
      </c>
      <c r="E56" s="42">
        <v>5.17102067733056E-4</v>
      </c>
      <c r="F56" s="42">
        <v>4.5136701717816947E-4</v>
      </c>
      <c r="G56" s="42">
        <v>4.5615551695359882E-4</v>
      </c>
      <c r="H56" s="42">
        <v>4.3664230504949402E-4</v>
      </c>
      <c r="I56" s="42">
        <v>4.5138641152171093E-4</v>
      </c>
      <c r="J56" s="42">
        <v>4.1832367794581056E-4</v>
      </c>
      <c r="K56" s="42">
        <v>4.5933522603844247E-4</v>
      </c>
      <c r="L56" s="42">
        <v>4.1773329627820346E-4</v>
      </c>
      <c r="M56" s="42">
        <v>4.2089809849457161E-4</v>
      </c>
      <c r="N56" s="43">
        <v>4.1003907343141347E-4</v>
      </c>
    </row>
    <row r="57" spans="1:14">
      <c r="A57" s="30" t="s">
        <v>105</v>
      </c>
      <c r="B57" s="41">
        <v>2.1909295957693318E-3</v>
      </c>
      <c r="C57" s="42">
        <v>2.026315807685467E-3</v>
      </c>
      <c r="D57" s="42">
        <v>1.8947841304105774E-3</v>
      </c>
      <c r="E57" s="42">
        <v>2.1218627828306358E-3</v>
      </c>
      <c r="F57" s="42">
        <v>2.0035339415164482E-3</v>
      </c>
      <c r="G57" s="42">
        <v>2.0497095338677801E-3</v>
      </c>
      <c r="H57" s="42">
        <v>2.0751056405431873E-3</v>
      </c>
      <c r="I57" s="42">
        <v>2.1744205630293174E-3</v>
      </c>
      <c r="J57" s="42">
        <v>2.2434441982817537E-3</v>
      </c>
      <c r="K57" s="42">
        <v>2.2122222581933159E-3</v>
      </c>
      <c r="L57" s="42">
        <v>2.2621466312916761E-3</v>
      </c>
      <c r="M57" s="42">
        <v>2.31206877819421E-3</v>
      </c>
      <c r="N57" s="43">
        <v>2.5915516985943444E-3</v>
      </c>
    </row>
    <row r="58" spans="1:14">
      <c r="A58" s="30" t="s">
        <v>93</v>
      </c>
      <c r="B58" s="41">
        <v>3.635767200410363E-3</v>
      </c>
      <c r="C58" s="42">
        <v>3.6097210563140014E-3</v>
      </c>
      <c r="D58" s="42">
        <v>3.5694540717585129E-3</v>
      </c>
      <c r="E58" s="42">
        <v>3.5921431995732641E-3</v>
      </c>
      <c r="F58" s="42">
        <v>3.5941981763433469E-3</v>
      </c>
      <c r="G58" s="42">
        <v>3.6862150237728249E-3</v>
      </c>
      <c r="H58" s="42">
        <v>3.6102092033440049E-3</v>
      </c>
      <c r="I58" s="42">
        <v>3.6741883174401632E-3</v>
      </c>
      <c r="J58" s="42">
        <v>3.6603321820258424E-3</v>
      </c>
      <c r="K58" s="42">
        <v>3.7352070832400823E-3</v>
      </c>
      <c r="L58" s="42">
        <v>3.6698387929233909E-3</v>
      </c>
      <c r="M58" s="42">
        <v>3.6290867527071298E-3</v>
      </c>
      <c r="N58" s="43">
        <v>3.5758699487750457E-3</v>
      </c>
    </row>
    <row r="59" spans="1:14">
      <c r="A59" s="30" t="s">
        <v>85</v>
      </c>
      <c r="B59" s="41">
        <v>4.9156237822568088E-3</v>
      </c>
      <c r="C59" s="42">
        <v>4.8048875180191934E-3</v>
      </c>
      <c r="D59" s="42">
        <v>4.736960326026443E-3</v>
      </c>
      <c r="E59" s="42">
        <v>4.8722380897720701E-3</v>
      </c>
      <c r="F59" s="42">
        <v>4.8556825098907399E-3</v>
      </c>
      <c r="G59" s="42">
        <v>4.9263708451925611E-3</v>
      </c>
      <c r="H59" s="42">
        <v>4.9902731071055102E-3</v>
      </c>
      <c r="I59" s="42">
        <v>5.16861709279E-3</v>
      </c>
      <c r="J59" s="42">
        <v>5.2322567920261636E-3</v>
      </c>
      <c r="K59" s="42">
        <v>4.9330445010910967E-3</v>
      </c>
      <c r="L59" s="42">
        <v>4.8345724361618945E-3</v>
      </c>
      <c r="M59" s="42">
        <v>4.806099798339904E-3</v>
      </c>
      <c r="N59" s="43">
        <v>4.7839138977805512E-3</v>
      </c>
    </row>
    <row r="60" spans="1:14">
      <c r="A60" s="30" t="s">
        <v>60</v>
      </c>
      <c r="B60" s="41">
        <v>8.0070121113538333E-3</v>
      </c>
      <c r="C60" s="42">
        <v>9.4935110142859418E-3</v>
      </c>
      <c r="D60" s="42">
        <v>9.137313281059432E-3</v>
      </c>
      <c r="E60" s="42">
        <v>8.5729783503600016E-3</v>
      </c>
      <c r="F60" s="42">
        <v>7.9142659316098068E-3</v>
      </c>
      <c r="G60" s="42">
        <v>7.5540223510766414E-3</v>
      </c>
      <c r="H60" s="42">
        <v>7.2568052654421343E-3</v>
      </c>
      <c r="I60" s="42">
        <v>7.573584478908363E-3</v>
      </c>
      <c r="J60" s="42">
        <v>7.3096558462110058E-3</v>
      </c>
      <c r="K60" s="42">
        <v>7.5834885173231316E-3</v>
      </c>
      <c r="L60" s="42">
        <v>7.9252809774268667E-3</v>
      </c>
      <c r="M60" s="42">
        <v>7.9369986653157892E-3</v>
      </c>
      <c r="N60" s="43">
        <v>8.4469545619839902E-3</v>
      </c>
    </row>
    <row r="61" spans="1:14">
      <c r="A61" s="30" t="s">
        <v>95</v>
      </c>
      <c r="B61" s="41">
        <v>3.4885880812911812E-3</v>
      </c>
      <c r="C61" s="42">
        <v>3.3377462911431039E-3</v>
      </c>
      <c r="D61" s="42">
        <v>3.349339882695871E-3</v>
      </c>
      <c r="E61" s="42">
        <v>3.4351557383137184E-3</v>
      </c>
      <c r="F61" s="42">
        <v>3.4781483128414194E-3</v>
      </c>
      <c r="G61" s="42">
        <v>3.4633023158455595E-3</v>
      </c>
      <c r="H61" s="42">
        <v>3.4008529290630277E-3</v>
      </c>
      <c r="I61" s="42">
        <v>3.4125783434506987E-3</v>
      </c>
      <c r="J61" s="42">
        <v>3.3158573112612552E-3</v>
      </c>
      <c r="K61" s="42">
        <v>3.425542885910795E-3</v>
      </c>
      <c r="L61" s="42">
        <v>3.5912980285405056E-3</v>
      </c>
      <c r="M61" s="42">
        <v>3.6383615271755308E-3</v>
      </c>
      <c r="N61" s="43">
        <v>3.8070781124434887E-3</v>
      </c>
    </row>
    <row r="62" spans="1:14">
      <c r="A62" s="30" t="s">
        <v>94</v>
      </c>
      <c r="B62" s="41">
        <v>3.6109866161861512E-3</v>
      </c>
      <c r="C62" s="42">
        <v>3.5045297985379798E-3</v>
      </c>
      <c r="D62" s="42">
        <v>3.6222299884343511E-3</v>
      </c>
      <c r="E62" s="42">
        <v>3.6748570232476487E-3</v>
      </c>
      <c r="F62" s="42">
        <v>3.33866530382468E-3</v>
      </c>
      <c r="G62" s="42">
        <v>3.4779819331968672E-3</v>
      </c>
      <c r="H62" s="42">
        <v>3.5326893738243485E-3</v>
      </c>
      <c r="I62" s="42">
        <v>3.5761452474107167E-3</v>
      </c>
      <c r="J62" s="42">
        <v>3.6140046694463175E-3</v>
      </c>
      <c r="K62" s="42">
        <v>3.5428399303537067E-3</v>
      </c>
      <c r="L62" s="42">
        <v>3.7591681238423867E-3</v>
      </c>
      <c r="M62" s="42">
        <v>3.7430339818903405E-3</v>
      </c>
      <c r="N62" s="43">
        <v>3.7876237038500273E-3</v>
      </c>
    </row>
    <row r="63" spans="1:14">
      <c r="A63" s="30" t="s">
        <v>62</v>
      </c>
      <c r="B63" s="41">
        <v>7.4343006327824562E-3</v>
      </c>
      <c r="C63" s="42">
        <v>6.7357007364080091E-3</v>
      </c>
      <c r="D63" s="42">
        <v>6.4907941423881363E-3</v>
      </c>
      <c r="E63" s="42">
        <v>6.8213583973099441E-3</v>
      </c>
      <c r="F63" s="42">
        <v>6.9797297711976514E-3</v>
      </c>
      <c r="G63" s="42">
        <v>7.229983390284812E-3</v>
      </c>
      <c r="H63" s="42">
        <v>7.9070226110049685E-3</v>
      </c>
      <c r="I63" s="42">
        <v>8.784076640559059E-3</v>
      </c>
      <c r="J63" s="42">
        <v>8.8999279859457922E-3</v>
      </c>
      <c r="K63" s="42">
        <v>7.5056032798130378E-3</v>
      </c>
      <c r="L63" s="42">
        <v>7.169649777237678E-3</v>
      </c>
      <c r="M63" s="42">
        <v>6.5462241509827287E-3</v>
      </c>
      <c r="N63" s="43">
        <v>7.5670166963720522E-3</v>
      </c>
    </row>
    <row r="64" spans="1:14">
      <c r="A64" s="30" t="s">
        <v>100</v>
      </c>
      <c r="B64" s="41">
        <v>2.8807324689380811E-3</v>
      </c>
      <c r="C64" s="42">
        <v>3.1585059242747512E-3</v>
      </c>
      <c r="D64" s="42">
        <v>3.0487746011395736E-3</v>
      </c>
      <c r="E64" s="42">
        <v>3.031152164176249E-3</v>
      </c>
      <c r="F64" s="42">
        <v>2.853822364482493E-3</v>
      </c>
      <c r="G64" s="42">
        <v>2.9288555063516531E-3</v>
      </c>
      <c r="H64" s="42">
        <v>2.8460851695073907E-3</v>
      </c>
      <c r="I64" s="42">
        <v>2.778695920389027E-3</v>
      </c>
      <c r="J64" s="42">
        <v>2.8493713677624727E-3</v>
      </c>
      <c r="K64" s="42">
        <v>2.8292047119630316E-3</v>
      </c>
      <c r="L64" s="42">
        <v>2.6906684941059903E-3</v>
      </c>
      <c r="M64" s="42">
        <v>2.7576996086045172E-3</v>
      </c>
      <c r="N64" s="43">
        <v>2.9566959829639239E-3</v>
      </c>
    </row>
    <row r="65" spans="1:14">
      <c r="A65" s="30" t="s">
        <v>34</v>
      </c>
      <c r="B65" s="41">
        <v>2.7286181272271968E-2</v>
      </c>
      <c r="C65" s="42">
        <v>2.5018218156979959E-2</v>
      </c>
      <c r="D65" s="42">
        <v>2.5941937481134218E-2</v>
      </c>
      <c r="E65" s="42">
        <v>2.6456607315278088E-2</v>
      </c>
      <c r="F65" s="42">
        <v>2.6424219160167222E-2</v>
      </c>
      <c r="G65" s="42">
        <v>2.6876204612118294E-2</v>
      </c>
      <c r="H65" s="42">
        <v>2.634988654155564E-2</v>
      </c>
      <c r="I65" s="42">
        <v>2.7159871845088068E-2</v>
      </c>
      <c r="J65" s="42">
        <v>2.7061230293606346E-2</v>
      </c>
      <c r="K65" s="42">
        <v>2.7824266506391984E-2</v>
      </c>
      <c r="L65" s="42">
        <v>2.9341017094267906E-2</v>
      </c>
      <c r="M65" s="42">
        <v>2.8211213997312964E-2</v>
      </c>
      <c r="N65" s="43">
        <v>2.8656343858168381E-2</v>
      </c>
    </row>
    <row r="66" spans="1:14">
      <c r="A66" s="30" t="s">
        <v>107</v>
      </c>
      <c r="B66" s="41">
        <v>2.0036335106210714E-3</v>
      </c>
      <c r="C66" s="42">
        <v>1.9681837968092445E-3</v>
      </c>
      <c r="D66" s="42">
        <v>1.831066865155602E-3</v>
      </c>
      <c r="E66" s="42">
        <v>1.9367413679403471E-3</v>
      </c>
      <c r="F66" s="42">
        <v>2.5575604533309378E-3</v>
      </c>
      <c r="G66" s="42">
        <v>2.102991107957712E-3</v>
      </c>
      <c r="H66" s="42">
        <v>2.1399691713657569E-3</v>
      </c>
      <c r="I66" s="42">
        <v>2.2302371623035074E-3</v>
      </c>
      <c r="J66" s="42">
        <v>2.2769284400471533E-3</v>
      </c>
      <c r="K66" s="42">
        <v>1.8326490223760535E-3</v>
      </c>
      <c r="L66" s="42">
        <v>1.8137738060509186E-3</v>
      </c>
      <c r="M66" s="42">
        <v>1.6769675550722858E-3</v>
      </c>
      <c r="N66" s="43">
        <v>1.8111306154028036E-3</v>
      </c>
    </row>
    <row r="67" spans="1:14">
      <c r="A67" s="30" t="s">
        <v>97</v>
      </c>
      <c r="B67" s="41">
        <v>3.1226043432884001E-3</v>
      </c>
      <c r="C67" s="42">
        <v>3.0941454836617907E-3</v>
      </c>
      <c r="D67" s="42">
        <v>3.1305129111131279E-3</v>
      </c>
      <c r="E67" s="42">
        <v>3.0514086107903842E-3</v>
      </c>
      <c r="F67" s="42">
        <v>3.1032179846044233E-3</v>
      </c>
      <c r="G67" s="42">
        <v>3.093593434405217E-3</v>
      </c>
      <c r="H67" s="42">
        <v>3.2468679615818051E-3</v>
      </c>
      <c r="I67" s="42">
        <v>3.1412611348048528E-3</v>
      </c>
      <c r="J67" s="42">
        <v>3.1860485383899124E-3</v>
      </c>
      <c r="K67" s="42">
        <v>3.0515999082267923E-3</v>
      </c>
      <c r="L67" s="42">
        <v>3.0277033126940864E-3</v>
      </c>
      <c r="M67" s="42">
        <v>3.0527257678850776E-3</v>
      </c>
      <c r="N67" s="43">
        <v>3.2574910696782093E-3</v>
      </c>
    </row>
    <row r="68" spans="1:14">
      <c r="A68" s="30" t="s">
        <v>36</v>
      </c>
      <c r="B68" s="41">
        <v>2.4625381711887055E-2</v>
      </c>
      <c r="C68" s="42">
        <v>2.4310253310237392E-2</v>
      </c>
      <c r="D68" s="42">
        <v>2.352068140144516E-2</v>
      </c>
      <c r="E68" s="42">
        <v>2.4187885294494973E-2</v>
      </c>
      <c r="F68" s="42">
        <v>2.4593086217795466E-2</v>
      </c>
      <c r="G68" s="42">
        <v>2.4481795915260549E-2</v>
      </c>
      <c r="H68" s="42">
        <v>2.4208335332852746E-2</v>
      </c>
      <c r="I68" s="42">
        <v>2.4011330284290928E-2</v>
      </c>
      <c r="J68" s="42">
        <v>2.3906372555765023E-2</v>
      </c>
      <c r="K68" s="42">
        <v>2.3931881383598402E-2</v>
      </c>
      <c r="L68" s="42">
        <v>2.4627708145971896E-2</v>
      </c>
      <c r="M68" s="42">
        <v>2.5141263648272287E-2</v>
      </c>
      <c r="N68" s="43">
        <v>2.7318853267367924E-2</v>
      </c>
    </row>
    <row r="69" spans="1:14">
      <c r="A69" s="30" t="s">
        <v>76</v>
      </c>
      <c r="B69" s="41">
        <v>6.100118992771633E-3</v>
      </c>
      <c r="C69" s="42">
        <v>5.9661436400465888E-3</v>
      </c>
      <c r="D69" s="42">
        <v>6.0557146341824464E-3</v>
      </c>
      <c r="E69" s="42">
        <v>5.9244479555618573E-3</v>
      </c>
      <c r="F69" s="42">
        <v>5.9587141451951176E-3</v>
      </c>
      <c r="G69" s="42">
        <v>6.0088567024686223E-3</v>
      </c>
      <c r="H69" s="42">
        <v>6.0222887966971282E-3</v>
      </c>
      <c r="I69" s="42">
        <v>6.1160431952527738E-3</v>
      </c>
      <c r="J69" s="42">
        <v>6.2129322563333382E-3</v>
      </c>
      <c r="K69" s="42">
        <v>6.0379826597433258E-3</v>
      </c>
      <c r="L69" s="42">
        <v>6.1460305842915017E-3</v>
      </c>
      <c r="M69" s="42">
        <v>6.2216070445886987E-3</v>
      </c>
      <c r="N69" s="43">
        <v>6.3305393809607183E-3</v>
      </c>
    </row>
    <row r="70" spans="1:14">
      <c r="A70" s="30" t="s">
        <v>39</v>
      </c>
      <c r="B70" s="41">
        <v>1.889684611695976E-2</v>
      </c>
      <c r="C70" s="42">
        <v>1.9351039144296801E-2</v>
      </c>
      <c r="D70" s="42">
        <v>1.8923384171987703E-2</v>
      </c>
      <c r="E70" s="42">
        <v>1.8997733528695507E-2</v>
      </c>
      <c r="F70" s="42">
        <v>1.8856429022954996E-2</v>
      </c>
      <c r="G70" s="42">
        <v>1.9328706535420015E-2</v>
      </c>
      <c r="H70" s="42">
        <v>1.9079897631637373E-2</v>
      </c>
      <c r="I70" s="42">
        <v>1.9041226140223917E-2</v>
      </c>
      <c r="J70" s="42">
        <v>1.8915385779747079E-2</v>
      </c>
      <c r="K70" s="42">
        <v>1.8980069355396437E-2</v>
      </c>
      <c r="L70" s="42">
        <v>1.8841584141325043E-2</v>
      </c>
      <c r="M70" s="42">
        <v>1.8791576384834242E-2</v>
      </c>
      <c r="N70" s="43">
        <v>1.8113176770238944E-2</v>
      </c>
    </row>
    <row r="71" spans="1:14">
      <c r="A71" s="30" t="s">
        <v>52</v>
      </c>
      <c r="B71" s="41">
        <v>1.1852097939722169E-2</v>
      </c>
      <c r="C71" s="42">
        <v>1.1893532606175697E-2</v>
      </c>
      <c r="D71" s="42">
        <v>1.168729110873834E-2</v>
      </c>
      <c r="E71" s="42">
        <v>1.1810633734185904E-2</v>
      </c>
      <c r="F71" s="42">
        <v>1.1572626292100855E-2</v>
      </c>
      <c r="G71" s="42">
        <v>1.2591305860701306E-2</v>
      </c>
      <c r="H71" s="42">
        <v>1.2256043250791415E-2</v>
      </c>
      <c r="I71" s="42">
        <v>1.2049105017232768E-2</v>
      </c>
      <c r="J71" s="42">
        <v>1.1708476100049079E-2</v>
      </c>
      <c r="K71" s="42">
        <v>1.1847001488734087E-2</v>
      </c>
      <c r="L71" s="42">
        <v>1.152218906056615E-2</v>
      </c>
      <c r="M71" s="42">
        <v>1.1636308710426525E-2</v>
      </c>
      <c r="N71" s="43">
        <v>1.1783385635762591E-2</v>
      </c>
    </row>
    <row r="72" spans="1:14">
      <c r="A72" s="30" t="s">
        <v>91</v>
      </c>
      <c r="B72" s="41">
        <v>3.9808566852729994E-3</v>
      </c>
      <c r="C72" s="42">
        <v>3.5896516716067343E-3</v>
      </c>
      <c r="D72" s="42">
        <v>3.6795111662898338E-3</v>
      </c>
      <c r="E72" s="42">
        <v>3.8430980659594914E-3</v>
      </c>
      <c r="F72" s="42">
        <v>4.0706721351445293E-3</v>
      </c>
      <c r="G72" s="42">
        <v>4.271768649230543E-3</v>
      </c>
      <c r="H72" s="42">
        <v>4.2820477258476951E-3</v>
      </c>
      <c r="I72" s="42">
        <v>4.2372079275102541E-3</v>
      </c>
      <c r="J72" s="42">
        <v>4.2346098627146084E-3</v>
      </c>
      <c r="K72" s="42">
        <v>4.0462788451026844E-3</v>
      </c>
      <c r="L72" s="42">
        <v>3.9468891815707119E-3</v>
      </c>
      <c r="M72" s="42">
        <v>3.6913602384235356E-3</v>
      </c>
      <c r="N72" s="43">
        <v>3.8029627567794872E-3</v>
      </c>
    </row>
    <row r="73" spans="1:14">
      <c r="A73" s="30" t="s">
        <v>33</v>
      </c>
      <c r="B73" s="41">
        <v>3.0739541642768865E-2</v>
      </c>
      <c r="C73" s="42">
        <v>3.1270869564916502E-2</v>
      </c>
      <c r="D73" s="42">
        <v>3.0752912812254826E-2</v>
      </c>
      <c r="E73" s="42">
        <v>3.0532654517300129E-2</v>
      </c>
      <c r="F73" s="42">
        <v>3.0333648936888401E-2</v>
      </c>
      <c r="G73" s="42">
        <v>3.031504089904501E-2</v>
      </c>
      <c r="H73" s="42">
        <v>3.0834435046556721E-2</v>
      </c>
      <c r="I73" s="42">
        <v>3.0521972568325586E-2</v>
      </c>
      <c r="J73" s="42">
        <v>3.0616981556145735E-2</v>
      </c>
      <c r="K73" s="42">
        <v>3.097111161470642E-2</v>
      </c>
      <c r="L73" s="42">
        <v>3.1301946947871376E-2</v>
      </c>
      <c r="M73" s="42">
        <v>3.0590856132348382E-2</v>
      </c>
      <c r="N73" s="43">
        <v>3.0800444159113118E-2</v>
      </c>
    </row>
    <row r="74" spans="1:14">
      <c r="A74" s="30" t="s">
        <v>87</v>
      </c>
      <c r="B74" s="41">
        <v>4.725068193618686E-3</v>
      </c>
      <c r="C74" s="42">
        <v>4.896929868573212E-3</v>
      </c>
      <c r="D74" s="42">
        <v>4.9493512102096945E-3</v>
      </c>
      <c r="E74" s="42">
        <v>4.8041539219856721E-3</v>
      </c>
      <c r="F74" s="42">
        <v>4.5365453852604402E-3</v>
      </c>
      <c r="G74" s="42">
        <v>4.8350310038955359E-3</v>
      </c>
      <c r="H74" s="42">
        <v>4.6997055828515589E-3</v>
      </c>
      <c r="I74" s="42">
        <v>4.7133477874057366E-3</v>
      </c>
      <c r="J74" s="42">
        <v>4.8033832844830357E-3</v>
      </c>
      <c r="K74" s="42">
        <v>4.6468397126503925E-3</v>
      </c>
      <c r="L74" s="42">
        <v>4.7171928322490104E-3</v>
      </c>
      <c r="M74" s="42">
        <v>4.6713947405845578E-3</v>
      </c>
      <c r="N74" s="43">
        <v>4.5777719913382984E-3</v>
      </c>
    </row>
    <row r="75" spans="1:14">
      <c r="A75" s="30" t="s">
        <v>48</v>
      </c>
      <c r="B75" s="41">
        <v>1.3681013705585348E-2</v>
      </c>
      <c r="C75" s="42">
        <v>1.3612579213515415E-2</v>
      </c>
      <c r="D75" s="42">
        <v>1.3197197212659269E-2</v>
      </c>
      <c r="E75" s="42">
        <v>1.3266847174113161E-2</v>
      </c>
      <c r="F75" s="42">
        <v>1.3236937555688591E-2</v>
      </c>
      <c r="G75" s="42">
        <v>1.3345946930464828E-2</v>
      </c>
      <c r="H75" s="42">
        <v>1.3568079549056077E-2</v>
      </c>
      <c r="I75" s="42">
        <v>1.3630898904490032E-2</v>
      </c>
      <c r="J75" s="42">
        <v>1.3614784439460032E-2</v>
      </c>
      <c r="K75" s="42">
        <v>1.3738299033331597E-2</v>
      </c>
      <c r="L75" s="42">
        <v>1.3761895473462715E-2</v>
      </c>
      <c r="M75" s="42">
        <v>1.4158164053977421E-2</v>
      </c>
      <c r="N75" s="43">
        <v>1.4455747954668235E-2</v>
      </c>
    </row>
    <row r="76" spans="1:14">
      <c r="A76" s="30" t="s">
        <v>89</v>
      </c>
      <c r="B76" s="41">
        <v>4.2722479395654626E-3</v>
      </c>
      <c r="C76" s="42">
        <v>4.2637061786715037E-3</v>
      </c>
      <c r="D76" s="42">
        <v>4.1918237232894326E-3</v>
      </c>
      <c r="E76" s="42">
        <v>4.329815463771345E-3</v>
      </c>
      <c r="F76" s="42">
        <v>4.1655205812759126E-3</v>
      </c>
      <c r="G76" s="42">
        <v>4.2212055227982609E-3</v>
      </c>
      <c r="H76" s="42">
        <v>4.2388053719659823E-3</v>
      </c>
      <c r="I76" s="42">
        <v>4.3760213830965015E-3</v>
      </c>
      <c r="J76" s="42">
        <v>4.3726750239664611E-3</v>
      </c>
      <c r="K76" s="42">
        <v>4.2621054068776422E-3</v>
      </c>
      <c r="L76" s="42">
        <v>4.1725859935061458E-3</v>
      </c>
      <c r="M76" s="42">
        <v>4.2491716743087863E-3</v>
      </c>
      <c r="N76" s="43">
        <v>4.367888852474227E-3</v>
      </c>
    </row>
    <row r="77" spans="1:14">
      <c r="A77" s="30" t="s">
        <v>68</v>
      </c>
      <c r="B77" s="41">
        <v>6.7772181600311739E-3</v>
      </c>
      <c r="C77" s="42">
        <v>6.8090577977518137E-3</v>
      </c>
      <c r="D77" s="42">
        <v>6.6787278944533159E-3</v>
      </c>
      <c r="E77" s="42">
        <v>6.8067287414219574E-3</v>
      </c>
      <c r="F77" s="42">
        <v>6.9138937909417504E-3</v>
      </c>
      <c r="G77" s="42">
        <v>6.9151871515289905E-3</v>
      </c>
      <c r="H77" s="42">
        <v>6.8644600058324441E-3</v>
      </c>
      <c r="I77" s="42">
        <v>6.8275834955654922E-3</v>
      </c>
      <c r="J77" s="42">
        <v>6.9014233096191509E-3</v>
      </c>
      <c r="K77" s="42">
        <v>6.8459247018661023E-3</v>
      </c>
      <c r="L77" s="42">
        <v>6.7307708905486978E-3</v>
      </c>
      <c r="M77" s="42">
        <v>6.6451550786456705E-3</v>
      </c>
      <c r="N77" s="43">
        <v>6.5063773047862334E-3</v>
      </c>
    </row>
    <row r="78" spans="1:14">
      <c r="A78" s="30" t="s">
        <v>71</v>
      </c>
      <c r="B78" s="41">
        <v>6.4550287766101371E-3</v>
      </c>
      <c r="C78" s="42">
        <v>6.4671862099797434E-3</v>
      </c>
      <c r="D78" s="42">
        <v>6.4734167064095065E-3</v>
      </c>
      <c r="E78" s="42">
        <v>6.4809375583779541E-3</v>
      </c>
      <c r="F78" s="42">
        <v>6.3738155800289343E-3</v>
      </c>
      <c r="G78" s="42">
        <v>6.6014782918362297E-3</v>
      </c>
      <c r="H78" s="42">
        <v>6.5644002575556788E-3</v>
      </c>
      <c r="I78" s="42">
        <v>6.6645019533382935E-3</v>
      </c>
      <c r="J78" s="42">
        <v>6.512455679248485E-3</v>
      </c>
      <c r="K78" s="42">
        <v>6.450868256182375E-3</v>
      </c>
      <c r="L78" s="42">
        <v>6.3592126590450481E-3</v>
      </c>
      <c r="M78" s="42">
        <v>6.2357400342548334E-3</v>
      </c>
      <c r="N78" s="43">
        <v>6.3604692403352739E-3</v>
      </c>
    </row>
    <row r="79" spans="1:14">
      <c r="A79" s="30" t="s">
        <v>58</v>
      </c>
      <c r="B79" s="41">
        <v>8.4395231513548358E-3</v>
      </c>
      <c r="C79" s="42">
        <v>8.3350230832526517E-3</v>
      </c>
      <c r="D79" s="42">
        <v>8.3830038378389163E-3</v>
      </c>
      <c r="E79" s="42">
        <v>8.5290893826960434E-3</v>
      </c>
      <c r="F79" s="42">
        <v>8.4309109970078112E-3</v>
      </c>
      <c r="G79" s="42">
        <v>8.216236200480077E-3</v>
      </c>
      <c r="H79" s="42">
        <v>8.1601485849467029E-3</v>
      </c>
      <c r="I79" s="42">
        <v>8.3239537178466053E-3</v>
      </c>
      <c r="J79" s="42">
        <v>8.2651034571332906E-3</v>
      </c>
      <c r="K79" s="42">
        <v>8.3294977199800495E-3</v>
      </c>
      <c r="L79" s="42">
        <v>8.7426227782026068E-3</v>
      </c>
      <c r="M79" s="42">
        <v>8.6551312027262541E-3</v>
      </c>
      <c r="N79" s="43">
        <v>8.7006101201833504E-3</v>
      </c>
    </row>
    <row r="80" spans="1:14">
      <c r="A80" s="30" t="s">
        <v>32</v>
      </c>
      <c r="B80" s="41">
        <v>3.4871798086295355E-2</v>
      </c>
      <c r="C80" s="42">
        <v>3.3434902874558733E-2</v>
      </c>
      <c r="D80" s="42">
        <v>3.3687768666423382E-2</v>
      </c>
      <c r="E80" s="42">
        <v>3.3728671649752531E-2</v>
      </c>
      <c r="F80" s="42">
        <v>3.578966631758719E-2</v>
      </c>
      <c r="G80" s="42">
        <v>3.4804285360887519E-2</v>
      </c>
      <c r="H80" s="42">
        <v>3.5067439614953205E-2</v>
      </c>
      <c r="I80" s="42">
        <v>3.6000250446654135E-2</v>
      </c>
      <c r="J80" s="42">
        <v>3.6379023269254587E-2</v>
      </c>
      <c r="K80" s="42">
        <v>3.4737754305857203E-2</v>
      </c>
      <c r="L80" s="42">
        <v>3.5181515474256755E-2</v>
      </c>
      <c r="M80" s="42">
        <v>3.4737563631577692E-2</v>
      </c>
      <c r="N80" s="43">
        <v>3.4242003863944846E-2</v>
      </c>
    </row>
    <row r="81" spans="1:14">
      <c r="A81" s="30" t="s">
        <v>46</v>
      </c>
      <c r="B81" s="41">
        <v>1.443751103477744E-2</v>
      </c>
      <c r="C81" s="42">
        <v>1.3957911040030118E-2</v>
      </c>
      <c r="D81" s="42">
        <v>1.4062207359151055E-2</v>
      </c>
      <c r="E81" s="42">
        <v>1.4159818862352944E-2</v>
      </c>
      <c r="F81" s="42">
        <v>1.3975639571441245E-2</v>
      </c>
      <c r="G81" s="42">
        <v>1.4308821090804308E-2</v>
      </c>
      <c r="H81" s="42">
        <v>1.4248355604024493E-2</v>
      </c>
      <c r="I81" s="42">
        <v>1.4899149112346195E-2</v>
      </c>
      <c r="J81" s="42">
        <v>1.4953695421832643E-2</v>
      </c>
      <c r="K81" s="42">
        <v>1.4378740895989896E-2</v>
      </c>
      <c r="L81" s="42">
        <v>1.4653031069345453E-2</v>
      </c>
      <c r="M81" s="42">
        <v>1.4766765921475343E-2</v>
      </c>
      <c r="N81" s="43">
        <v>1.4436293546074773E-2</v>
      </c>
    </row>
    <row r="82" spans="1:14">
      <c r="A82" s="30" t="s">
        <v>56</v>
      </c>
      <c r="B82" s="41">
        <v>1.0068063029604023E-2</v>
      </c>
      <c r="C82" s="42">
        <v>9.1793213364549306E-3</v>
      </c>
      <c r="D82" s="42">
        <v>9.3754485148406525E-3</v>
      </c>
      <c r="E82" s="42">
        <v>9.734347956237073E-3</v>
      </c>
      <c r="F82" s="42">
        <v>9.6834684179781319E-3</v>
      </c>
      <c r="G82" s="42">
        <v>9.709751343592754E-3</v>
      </c>
      <c r="H82" s="42">
        <v>9.9014443473542275E-3</v>
      </c>
      <c r="I82" s="42">
        <v>9.7975119386852234E-3</v>
      </c>
      <c r="J82" s="42">
        <v>1.0248471421428998E-2</v>
      </c>
      <c r="K82" s="42">
        <v>1.0187482903955773E-2</v>
      </c>
      <c r="L82" s="42">
        <v>1.0547765731024637E-2</v>
      </c>
      <c r="M82" s="42">
        <v>1.0366989576036809E-2</v>
      </c>
      <c r="N82" s="43">
        <v>1.1092754130694717E-2</v>
      </c>
    </row>
    <row r="83" spans="1:14">
      <c r="A83" s="30" t="s">
        <v>75</v>
      </c>
      <c r="B83" s="41">
        <v>6.1381465334866972E-3</v>
      </c>
      <c r="C83" s="42">
        <v>6.3280846125259261E-3</v>
      </c>
      <c r="D83" s="42">
        <v>6.0170981097854917E-3</v>
      </c>
      <c r="E83" s="42">
        <v>6.0910009610558556E-3</v>
      </c>
      <c r="F83" s="42">
        <v>5.959272077231184E-3</v>
      </c>
      <c r="G83" s="42">
        <v>5.9517693016579816E-3</v>
      </c>
      <c r="H83" s="42">
        <v>6.0238708340342641E-3</v>
      </c>
      <c r="I83" s="42">
        <v>6.2932002277317246E-3</v>
      </c>
      <c r="J83" s="42">
        <v>6.1666047437538129E-3</v>
      </c>
      <c r="K83" s="42">
        <v>6.1158678972534197E-3</v>
      </c>
      <c r="L83" s="42">
        <v>6.2431276831164976E-3</v>
      </c>
      <c r="M83" s="42">
        <v>6.1248843965610901E-3</v>
      </c>
      <c r="N83" s="43">
        <v>6.2617007043992406E-3</v>
      </c>
    </row>
    <row r="84" spans="1:14">
      <c r="A84" s="30" t="s">
        <v>57</v>
      </c>
      <c r="B84" s="41">
        <v>8.9577006292304341E-3</v>
      </c>
      <c r="C84" s="42">
        <v>8.7986950747653784E-3</v>
      </c>
      <c r="D84" s="42">
        <v>8.9622517037932364E-3</v>
      </c>
      <c r="E84" s="42">
        <v>8.940407784777506E-3</v>
      </c>
      <c r="F84" s="42">
        <v>9.343687808013354E-3</v>
      </c>
      <c r="G84" s="42">
        <v>9.3318871191794637E-3</v>
      </c>
      <c r="H84" s="42">
        <v>9.3065983085911484E-3</v>
      </c>
      <c r="I84" s="42">
        <v>9.4407710650632262E-3</v>
      </c>
      <c r="J84" s="42">
        <v>9.1407393137106496E-3</v>
      </c>
      <c r="K84" s="42">
        <v>8.8226144948180506E-3</v>
      </c>
      <c r="L84" s="42">
        <v>8.7818931603940494E-3</v>
      </c>
      <c r="M84" s="42">
        <v>8.5637084258234457E-3</v>
      </c>
      <c r="N84" s="43">
        <v>8.3609062162821428E-3</v>
      </c>
    </row>
    <row r="85" spans="1:14">
      <c r="A85" s="30" t="s">
        <v>37</v>
      </c>
      <c r="B85" s="41">
        <v>2.1252255273448314E-2</v>
      </c>
      <c r="C85" s="42">
        <v>2.1164896293184646E-2</v>
      </c>
      <c r="D85" s="42">
        <v>2.1273843290282344E-2</v>
      </c>
      <c r="E85" s="42">
        <v>2.1100465223057238E-2</v>
      </c>
      <c r="F85" s="42">
        <v>2.0906271323465002E-2</v>
      </c>
      <c r="G85" s="42">
        <v>2.095379454516293E-2</v>
      </c>
      <c r="H85" s="42">
        <v>2.137279707892626E-2</v>
      </c>
      <c r="I85" s="42">
        <v>2.1383581862808622E-2</v>
      </c>
      <c r="J85" s="42">
        <v>2.170833849357607E-2</v>
      </c>
      <c r="K85" s="42">
        <v>2.1352753970387658E-2</v>
      </c>
      <c r="L85" s="42">
        <v>2.1373876478680928E-2</v>
      </c>
      <c r="M85" s="42">
        <v>2.1019730536885779E-2</v>
      </c>
      <c r="N85" s="43">
        <v>2.1277885275856032E-2</v>
      </c>
    </row>
    <row r="86" spans="1:14">
      <c r="A86" s="30" t="s">
        <v>106</v>
      </c>
      <c r="B86" s="41">
        <v>2.0551587388646692E-3</v>
      </c>
      <c r="C86" s="42">
        <v>2.4173227856029156E-3</v>
      </c>
      <c r="D86" s="42">
        <v>2.2880290705195659E-3</v>
      </c>
      <c r="E86" s="42">
        <v>2.2287718066274593E-3</v>
      </c>
      <c r="F86" s="42">
        <v>2.1034037759724337E-3</v>
      </c>
      <c r="G86" s="42">
        <v>2.1992241550385068E-3</v>
      </c>
      <c r="H86" s="42">
        <v>2.097254163263089E-3</v>
      </c>
      <c r="I86" s="42">
        <v>2.1161771550910319E-3</v>
      </c>
      <c r="J86" s="42">
        <v>1.9540119167205626E-3</v>
      </c>
      <c r="K86" s="42">
        <v>2.0193859171291689E-3</v>
      </c>
      <c r="L86" s="42">
        <v>1.8737582359916937E-3</v>
      </c>
      <c r="M86" s="42">
        <v>1.8982371745327059E-3</v>
      </c>
      <c r="N86" s="43">
        <v>1.8014034111060728E-3</v>
      </c>
    </row>
    <row r="87" spans="1:14">
      <c r="A87" s="30" t="s">
        <v>63</v>
      </c>
      <c r="B87" s="41">
        <v>7.2318771083607312E-3</v>
      </c>
      <c r="C87" s="42">
        <v>7.0436619845022823E-3</v>
      </c>
      <c r="D87" s="42">
        <v>7.162721666895148E-3</v>
      </c>
      <c r="E87" s="42">
        <v>7.072313263696171E-3</v>
      </c>
      <c r="F87" s="42">
        <v>7.0461236834896196E-3</v>
      </c>
      <c r="G87" s="42">
        <v>6.9809735848441103E-3</v>
      </c>
      <c r="H87" s="42">
        <v>6.7985417834517843E-3</v>
      </c>
      <c r="I87" s="42">
        <v>6.7970057063978925E-3</v>
      </c>
      <c r="J87" s="42">
        <v>7.1293913665698835E-3</v>
      </c>
      <c r="K87" s="42">
        <v>7.1246224794624608E-3</v>
      </c>
      <c r="L87" s="42">
        <v>7.3901680772357793E-3</v>
      </c>
      <c r="M87" s="42">
        <v>7.6993877765539004E-3</v>
      </c>
      <c r="N87" s="43">
        <v>8.0556216506616745E-3</v>
      </c>
    </row>
    <row r="88" spans="1:14">
      <c r="A88" s="30" t="s">
        <v>112</v>
      </c>
      <c r="B88" s="41">
        <v>4.5720804721265438E-4</v>
      </c>
      <c r="C88" s="42">
        <v>4.2145707885261251E-4</v>
      </c>
      <c r="D88" s="42">
        <v>3.9388854884893793E-4</v>
      </c>
      <c r="E88" s="42">
        <v>3.7699497865195599E-4</v>
      </c>
      <c r="F88" s="42">
        <v>4.3407112406009375E-4</v>
      </c>
      <c r="G88" s="42">
        <v>4.7627202962020567E-4</v>
      </c>
      <c r="H88" s="42">
        <v>5.2101762969673923E-4</v>
      </c>
      <c r="I88" s="42">
        <v>5.5379773714652923E-4</v>
      </c>
      <c r="J88" s="42">
        <v>5.614344098746405E-4</v>
      </c>
      <c r="K88" s="42">
        <v>4.5370496790518268E-4</v>
      </c>
      <c r="L88" s="42">
        <v>4.4060505733475798E-4</v>
      </c>
      <c r="M88" s="42">
        <v>4.4033095928550672E-4</v>
      </c>
      <c r="N88" s="43">
        <v>3.9582239022849952E-4</v>
      </c>
    </row>
    <row r="89" spans="1:14">
      <c r="A89" s="30" t="s">
        <v>67</v>
      </c>
      <c r="B89" s="41">
        <v>6.8609623266168759E-3</v>
      </c>
      <c r="C89" s="42">
        <v>6.9986788808480633E-3</v>
      </c>
      <c r="D89" s="42">
        <v>7.1376209260371271E-3</v>
      </c>
      <c r="E89" s="42">
        <v>7.0554328915177255E-3</v>
      </c>
      <c r="F89" s="42">
        <v>6.9484855771779017E-3</v>
      </c>
      <c r="G89" s="42">
        <v>6.9097502562136918E-3</v>
      </c>
      <c r="H89" s="42">
        <v>6.9345969944454673E-3</v>
      </c>
      <c r="I89" s="42">
        <v>6.7251721699406741E-3</v>
      </c>
      <c r="J89" s="42">
        <v>6.9491268869287613E-3</v>
      </c>
      <c r="K89" s="42">
        <v>6.8313798683551814E-3</v>
      </c>
      <c r="L89" s="42">
        <v>6.6858904537584777E-3</v>
      </c>
      <c r="M89" s="42">
        <v>6.730394672569545E-3</v>
      </c>
      <c r="N89" s="43">
        <v>6.670617408104108E-3</v>
      </c>
    </row>
    <row r="90" spans="1:14" ht="15.75" customHeight="1">
      <c r="A90" s="34" t="s">
        <v>183</v>
      </c>
      <c r="B90" s="44">
        <v>1</v>
      </c>
      <c r="C90" s="45">
        <v>1</v>
      </c>
      <c r="D90" s="45">
        <v>1</v>
      </c>
      <c r="E90" s="45">
        <v>1</v>
      </c>
      <c r="F90" s="45">
        <v>1</v>
      </c>
      <c r="G90" s="45">
        <v>1</v>
      </c>
      <c r="H90" s="45">
        <v>1</v>
      </c>
      <c r="I90" s="45">
        <v>1</v>
      </c>
      <c r="J90" s="45">
        <v>1</v>
      </c>
      <c r="K90" s="45">
        <v>1</v>
      </c>
      <c r="L90" s="45">
        <v>1</v>
      </c>
      <c r="M90" s="45">
        <v>1</v>
      </c>
      <c r="N90" s="46">
        <v>1</v>
      </c>
    </row>
    <row r="91" spans="1:14">
      <c r="A91" s="19" t="s">
        <v>159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</row>
  </sheetData>
  <mergeCells count="1">
    <mergeCell ref="A91:K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2"/>
  <sheetViews>
    <sheetView showGridLines="0" workbookViewId="0"/>
  </sheetViews>
  <sheetFormatPr defaultColWidth="12.6640625" defaultRowHeight="15.75" customHeight="1"/>
  <sheetData>
    <row r="1" spans="1:9">
      <c r="A1" s="20"/>
      <c r="B1" s="22"/>
      <c r="C1" s="21" t="s">
        <v>170</v>
      </c>
      <c r="D1" s="23"/>
    </row>
    <row r="2" spans="1:9">
      <c r="A2" s="21" t="s">
        <v>1</v>
      </c>
      <c r="B2" s="21" t="s">
        <v>0</v>
      </c>
      <c r="C2" s="20" t="s">
        <v>171</v>
      </c>
      <c r="D2" s="25" t="s">
        <v>185</v>
      </c>
    </row>
    <row r="3" spans="1:9">
      <c r="A3" s="26" t="s">
        <v>164</v>
      </c>
      <c r="B3" s="22"/>
      <c r="C3" s="27">
        <v>1025471</v>
      </c>
      <c r="D3" s="29">
        <v>22604588</v>
      </c>
    </row>
    <row r="4" spans="1:9">
      <c r="A4" s="26" t="s">
        <v>167</v>
      </c>
      <c r="B4" s="22"/>
      <c r="C4" s="27">
        <v>4164127</v>
      </c>
      <c r="D4" s="29">
        <v>76325209</v>
      </c>
    </row>
    <row r="5" spans="1:9">
      <c r="A5" s="26" t="s">
        <v>163</v>
      </c>
      <c r="B5" s="22"/>
      <c r="C5" s="27">
        <v>2783145</v>
      </c>
      <c r="D5" s="29">
        <v>49714499</v>
      </c>
    </row>
    <row r="6" spans="1:9">
      <c r="A6" s="26" t="s">
        <v>168</v>
      </c>
      <c r="B6" s="22"/>
      <c r="C6" s="27">
        <v>675147</v>
      </c>
      <c r="D6" s="29">
        <v>13163797</v>
      </c>
    </row>
    <row r="7" spans="1:9">
      <c r="A7" s="26" t="s">
        <v>165</v>
      </c>
      <c r="B7" s="22"/>
      <c r="C7" s="27">
        <v>2758622</v>
      </c>
      <c r="D7" s="29">
        <v>52073754</v>
      </c>
    </row>
    <row r="8" spans="1:9">
      <c r="A8" s="26" t="s">
        <v>166</v>
      </c>
      <c r="B8" s="22"/>
      <c r="C8" s="27">
        <v>3013817</v>
      </c>
      <c r="D8" s="29">
        <v>58910571</v>
      </c>
    </row>
    <row r="9" spans="1:9">
      <c r="A9" s="26" t="s">
        <v>161</v>
      </c>
      <c r="B9" s="22"/>
      <c r="C9" s="27">
        <v>7188763</v>
      </c>
      <c r="D9" s="29">
        <v>127253267</v>
      </c>
    </row>
    <row r="10" spans="1:9">
      <c r="A10" s="26" t="s">
        <v>162</v>
      </c>
      <c r="B10" s="22"/>
      <c r="C10" s="27">
        <v>2320933</v>
      </c>
      <c r="D10" s="29">
        <v>41954596</v>
      </c>
    </row>
    <row r="11" spans="1:9" ht="15.75" customHeight="1">
      <c r="A11" s="34" t="s">
        <v>183</v>
      </c>
      <c r="B11" s="47"/>
      <c r="C11" s="35">
        <v>23930025</v>
      </c>
      <c r="D11" s="37">
        <v>442000281</v>
      </c>
    </row>
    <row r="12" spans="1:9">
      <c r="A12" s="19" t="s">
        <v>160</v>
      </c>
      <c r="B12" s="17"/>
      <c r="C12" s="17"/>
      <c r="D12" s="17"/>
      <c r="E12" s="17"/>
      <c r="F12" s="17"/>
      <c r="G12" s="17"/>
      <c r="H12" s="17"/>
      <c r="I12" s="17"/>
    </row>
  </sheetData>
  <mergeCells count="1">
    <mergeCell ref="A12:I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workbookViewId="0"/>
  </sheetViews>
  <sheetFormatPr defaultColWidth="12.6640625" defaultRowHeight="15.75" customHeight="1"/>
  <cols>
    <col min="2" max="2" width="20.77734375" customWidth="1"/>
  </cols>
  <sheetData>
    <row r="1" spans="1:26">
      <c r="A1" s="11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12" t="s">
        <v>59</v>
      </c>
      <c r="B2" s="10" t="s">
        <v>161</v>
      </c>
    </row>
    <row r="3" spans="1:26">
      <c r="A3" s="12" t="s">
        <v>81</v>
      </c>
      <c r="B3" s="10" t="s">
        <v>161</v>
      </c>
    </row>
    <row r="4" spans="1:26">
      <c r="A4" s="12" t="s">
        <v>65</v>
      </c>
      <c r="B4" s="10" t="s">
        <v>161</v>
      </c>
    </row>
    <row r="5" spans="1:26">
      <c r="A5" s="12" t="s">
        <v>49</v>
      </c>
      <c r="B5" s="10" t="s">
        <v>161</v>
      </c>
    </row>
    <row r="6" spans="1:26">
      <c r="A6" s="12" t="s">
        <v>88</v>
      </c>
      <c r="B6" s="10" t="s">
        <v>161</v>
      </c>
    </row>
    <row r="7" spans="1:26">
      <c r="A7" s="12" t="s">
        <v>73</v>
      </c>
      <c r="B7" s="10" t="s">
        <v>161</v>
      </c>
    </row>
    <row r="8" spans="1:26">
      <c r="A8" s="12" t="s">
        <v>96</v>
      </c>
      <c r="B8" s="10" t="s">
        <v>161</v>
      </c>
    </row>
    <row r="9" spans="1:26">
      <c r="A9" s="12" t="s">
        <v>82</v>
      </c>
      <c r="B9" s="10" t="s">
        <v>161</v>
      </c>
    </row>
    <row r="10" spans="1:26">
      <c r="A10" s="12" t="s">
        <v>78</v>
      </c>
      <c r="B10" s="10" t="s">
        <v>161</v>
      </c>
    </row>
    <row r="11" spans="1:26">
      <c r="A11" s="12" t="s">
        <v>29</v>
      </c>
      <c r="B11" s="10" t="s">
        <v>161</v>
      </c>
    </row>
    <row r="12" spans="1:26">
      <c r="A12" s="12" t="s">
        <v>92</v>
      </c>
      <c r="B12" s="10" t="s">
        <v>161</v>
      </c>
    </row>
    <row r="13" spans="1:26">
      <c r="A13" s="12" t="s">
        <v>76</v>
      </c>
      <c r="B13" s="10" t="s">
        <v>161</v>
      </c>
    </row>
    <row r="14" spans="1:26">
      <c r="A14" s="12" t="s">
        <v>87</v>
      </c>
      <c r="B14" s="10" t="s">
        <v>161</v>
      </c>
    </row>
    <row r="15" spans="1:26">
      <c r="A15" s="12" t="s">
        <v>89</v>
      </c>
      <c r="B15" s="10" t="s">
        <v>161</v>
      </c>
    </row>
    <row r="16" spans="1:26">
      <c r="A16" s="12" t="s">
        <v>68</v>
      </c>
      <c r="B16" s="10" t="s">
        <v>161</v>
      </c>
    </row>
    <row r="17" spans="1:2">
      <c r="A17" s="12" t="s">
        <v>58</v>
      </c>
      <c r="B17" s="10" t="s">
        <v>161</v>
      </c>
    </row>
    <row r="18" spans="1:2">
      <c r="A18" s="12" t="s">
        <v>67</v>
      </c>
      <c r="B18" s="10" t="s">
        <v>161</v>
      </c>
    </row>
    <row r="19" spans="1:2">
      <c r="A19" s="13" t="s">
        <v>28</v>
      </c>
      <c r="B19" s="10" t="s">
        <v>161</v>
      </c>
    </row>
    <row r="20" spans="1:2">
      <c r="A20" s="13" t="s">
        <v>101</v>
      </c>
      <c r="B20" s="10" t="s">
        <v>162</v>
      </c>
    </row>
    <row r="21" spans="1:2">
      <c r="A21" s="12" t="s">
        <v>105</v>
      </c>
      <c r="B21" s="10" t="s">
        <v>162</v>
      </c>
    </row>
    <row r="22" spans="1:2">
      <c r="A22" s="12" t="s">
        <v>60</v>
      </c>
      <c r="B22" s="10" t="s">
        <v>162</v>
      </c>
    </row>
    <row r="23" spans="1:2">
      <c r="A23" s="12" t="s">
        <v>31</v>
      </c>
      <c r="B23" s="10" t="s">
        <v>162</v>
      </c>
    </row>
    <row r="24" spans="1:2">
      <c r="A24" s="12" t="s">
        <v>83</v>
      </c>
      <c r="B24" s="10" t="s">
        <v>162</v>
      </c>
    </row>
    <row r="25" spans="1:2">
      <c r="A25" s="12" t="s">
        <v>51</v>
      </c>
      <c r="B25" s="10" t="s">
        <v>162</v>
      </c>
    </row>
    <row r="26" spans="1:2">
      <c r="A26" s="12" t="s">
        <v>36</v>
      </c>
      <c r="B26" s="10" t="s">
        <v>162</v>
      </c>
    </row>
    <row r="27" spans="1:2">
      <c r="A27" s="13" t="s">
        <v>104</v>
      </c>
      <c r="B27" s="10" t="s">
        <v>162</v>
      </c>
    </row>
    <row r="28" spans="1:2">
      <c r="A28" s="12" t="s">
        <v>93</v>
      </c>
      <c r="B28" s="10" t="s">
        <v>163</v>
      </c>
    </row>
    <row r="29" spans="1:2">
      <c r="A29" s="12" t="s">
        <v>85</v>
      </c>
      <c r="B29" s="10" t="s">
        <v>163</v>
      </c>
    </row>
    <row r="30" spans="1:2">
      <c r="A30" s="12" t="s">
        <v>64</v>
      </c>
      <c r="B30" s="10" t="s">
        <v>163</v>
      </c>
    </row>
    <row r="31" spans="1:2">
      <c r="A31" s="12" t="s">
        <v>66</v>
      </c>
      <c r="B31" s="10" t="s">
        <v>163</v>
      </c>
    </row>
    <row r="32" spans="1:2">
      <c r="A32" s="12" t="s">
        <v>70</v>
      </c>
      <c r="B32" s="10" t="s">
        <v>163</v>
      </c>
    </row>
    <row r="33" spans="1:2">
      <c r="A33" s="12" t="s">
        <v>61</v>
      </c>
      <c r="B33" s="10" t="s">
        <v>163</v>
      </c>
    </row>
    <row r="34" spans="1:2">
      <c r="A34" s="12" t="s">
        <v>45</v>
      </c>
      <c r="B34" s="10" t="s">
        <v>163</v>
      </c>
    </row>
    <row r="35" spans="1:2">
      <c r="A35" s="12" t="s">
        <v>79</v>
      </c>
      <c r="B35" s="10" t="s">
        <v>163</v>
      </c>
    </row>
    <row r="36" spans="1:2">
      <c r="A36" s="12" t="s">
        <v>99</v>
      </c>
      <c r="B36" s="10" t="s">
        <v>163</v>
      </c>
    </row>
    <row r="37" spans="1:2">
      <c r="A37" s="12" t="s">
        <v>98</v>
      </c>
      <c r="B37" s="10" t="s">
        <v>163</v>
      </c>
    </row>
    <row r="38" spans="1:2">
      <c r="A38" s="13" t="s">
        <v>114</v>
      </c>
      <c r="B38" s="10" t="s">
        <v>163</v>
      </c>
    </row>
    <row r="39" spans="1:2">
      <c r="A39" s="13" t="s">
        <v>30</v>
      </c>
      <c r="B39" s="10" t="s">
        <v>163</v>
      </c>
    </row>
    <row r="40" spans="1:2">
      <c r="A40" s="13" t="s">
        <v>62</v>
      </c>
      <c r="B40" s="10" t="s">
        <v>164</v>
      </c>
    </row>
    <row r="41" spans="1:2">
      <c r="A41" s="12" t="s">
        <v>102</v>
      </c>
      <c r="B41" s="10" t="s">
        <v>164</v>
      </c>
    </row>
    <row r="42" spans="1:2">
      <c r="A42" s="12" t="s">
        <v>50</v>
      </c>
      <c r="B42" s="10" t="s">
        <v>164</v>
      </c>
    </row>
    <row r="43" spans="1:2">
      <c r="A43" s="12" t="s">
        <v>57</v>
      </c>
      <c r="B43" s="10" t="s">
        <v>164</v>
      </c>
    </row>
    <row r="44" spans="1:2">
      <c r="A44" s="12" t="s">
        <v>86</v>
      </c>
      <c r="B44" s="10" t="s">
        <v>164</v>
      </c>
    </row>
    <row r="45" spans="1:2">
      <c r="A45" s="12" t="s">
        <v>109</v>
      </c>
      <c r="B45" s="10" t="s">
        <v>164</v>
      </c>
    </row>
    <row r="46" spans="1:2">
      <c r="A46" s="12" t="s">
        <v>91</v>
      </c>
      <c r="B46" s="10" t="s">
        <v>164</v>
      </c>
    </row>
    <row r="47" spans="1:2">
      <c r="A47" s="12" t="s">
        <v>111</v>
      </c>
      <c r="B47" s="10" t="s">
        <v>164</v>
      </c>
    </row>
    <row r="48" spans="1:2">
      <c r="A48" s="12" t="s">
        <v>112</v>
      </c>
      <c r="B48" s="10" t="s">
        <v>164</v>
      </c>
    </row>
    <row r="49" spans="1:2">
      <c r="A49" s="12" t="s">
        <v>110</v>
      </c>
      <c r="B49" s="10" t="s">
        <v>165</v>
      </c>
    </row>
    <row r="50" spans="1:2">
      <c r="A50" s="12" t="s">
        <v>72</v>
      </c>
      <c r="B50" s="10" t="s">
        <v>165</v>
      </c>
    </row>
    <row r="51" spans="1:2">
      <c r="A51" s="12" t="s">
        <v>107</v>
      </c>
      <c r="B51" s="10" t="s">
        <v>165</v>
      </c>
    </row>
    <row r="52" spans="1:2">
      <c r="A52" s="12" t="s">
        <v>97</v>
      </c>
      <c r="B52" s="10" t="s">
        <v>165</v>
      </c>
    </row>
    <row r="53" spans="1:2">
      <c r="A53" s="12" t="s">
        <v>54</v>
      </c>
      <c r="B53" s="10" t="s">
        <v>165</v>
      </c>
    </row>
    <row r="54" spans="1:2">
      <c r="A54" s="12" t="s">
        <v>77</v>
      </c>
      <c r="B54" s="10" t="s">
        <v>165</v>
      </c>
    </row>
    <row r="55" spans="1:2">
      <c r="A55" s="12" t="s">
        <v>41</v>
      </c>
      <c r="B55" s="10" t="s">
        <v>165</v>
      </c>
    </row>
    <row r="56" spans="1:2">
      <c r="A56" s="12" t="s">
        <v>43</v>
      </c>
      <c r="B56" s="10" t="s">
        <v>165</v>
      </c>
    </row>
    <row r="57" spans="1:2">
      <c r="A57" s="13" t="s">
        <v>47</v>
      </c>
      <c r="B57" s="10" t="s">
        <v>165</v>
      </c>
    </row>
    <row r="58" spans="1:2">
      <c r="A58" s="12" t="s">
        <v>38</v>
      </c>
      <c r="B58" s="10" t="s">
        <v>165</v>
      </c>
    </row>
    <row r="59" spans="1:2">
      <c r="A59" s="12" t="s">
        <v>55</v>
      </c>
      <c r="B59" s="10" t="s">
        <v>165</v>
      </c>
    </row>
    <row r="60" spans="1:2">
      <c r="A60" s="12" t="s">
        <v>71</v>
      </c>
      <c r="B60" s="10" t="s">
        <v>165</v>
      </c>
    </row>
    <row r="61" spans="1:2">
      <c r="A61" s="12" t="s">
        <v>90</v>
      </c>
      <c r="B61" s="10" t="s">
        <v>166</v>
      </c>
    </row>
    <row r="62" spans="1:2">
      <c r="A62" s="12" t="s">
        <v>33</v>
      </c>
      <c r="B62" s="10" t="s">
        <v>166</v>
      </c>
    </row>
    <row r="63" spans="1:2">
      <c r="A63" s="13" t="s">
        <v>46</v>
      </c>
      <c r="B63" s="10" t="s">
        <v>166</v>
      </c>
    </row>
    <row r="64" spans="1:2">
      <c r="A64" s="13" t="s">
        <v>32</v>
      </c>
      <c r="B64" s="10" t="s">
        <v>166</v>
      </c>
    </row>
    <row r="65" spans="1:2">
      <c r="A65" s="12" t="s">
        <v>37</v>
      </c>
      <c r="B65" s="10" t="s">
        <v>166</v>
      </c>
    </row>
    <row r="66" spans="1:2">
      <c r="A66" s="13" t="s">
        <v>44</v>
      </c>
      <c r="B66" s="10" t="s">
        <v>166</v>
      </c>
    </row>
    <row r="67" spans="1:2">
      <c r="A67" s="13" t="s">
        <v>80</v>
      </c>
      <c r="B67" s="10" t="s">
        <v>166</v>
      </c>
    </row>
    <row r="68" spans="1:2">
      <c r="A68" s="12" t="s">
        <v>35</v>
      </c>
      <c r="B68" s="10" t="s">
        <v>167</v>
      </c>
    </row>
    <row r="69" spans="1:2">
      <c r="A69" s="12" t="s">
        <v>95</v>
      </c>
      <c r="B69" s="10" t="s">
        <v>167</v>
      </c>
    </row>
    <row r="70" spans="1:2">
      <c r="A70" s="12" t="s">
        <v>94</v>
      </c>
      <c r="B70" s="10" t="s">
        <v>167</v>
      </c>
    </row>
    <row r="71" spans="1:2">
      <c r="A71" s="13" t="s">
        <v>34</v>
      </c>
      <c r="B71" s="10" t="s">
        <v>167</v>
      </c>
    </row>
    <row r="72" spans="1:2">
      <c r="A72" s="12" t="s">
        <v>56</v>
      </c>
      <c r="B72" s="10" t="s">
        <v>167</v>
      </c>
    </row>
    <row r="73" spans="1:2">
      <c r="A73" s="13" t="s">
        <v>63</v>
      </c>
      <c r="B73" s="10" t="s">
        <v>167</v>
      </c>
    </row>
    <row r="74" spans="1:2">
      <c r="A74" s="12" t="s">
        <v>69</v>
      </c>
      <c r="B74" s="10" t="s">
        <v>167</v>
      </c>
    </row>
    <row r="75" spans="1:2">
      <c r="A75" s="12" t="s">
        <v>40</v>
      </c>
      <c r="B75" s="10" t="s">
        <v>167</v>
      </c>
    </row>
    <row r="76" spans="1:2">
      <c r="A76" s="12" t="s">
        <v>53</v>
      </c>
      <c r="B76" s="10" t="s">
        <v>167</v>
      </c>
    </row>
    <row r="77" spans="1:2">
      <c r="A77" s="12" t="s">
        <v>74</v>
      </c>
      <c r="B77" s="10" t="s">
        <v>167</v>
      </c>
    </row>
    <row r="78" spans="1:2">
      <c r="A78" s="12" t="s">
        <v>75</v>
      </c>
      <c r="B78" s="10" t="s">
        <v>167</v>
      </c>
    </row>
    <row r="79" spans="1:2">
      <c r="A79" s="12" t="s">
        <v>39</v>
      </c>
      <c r="B79" s="10" t="s">
        <v>167</v>
      </c>
    </row>
    <row r="80" spans="1:2">
      <c r="A80" s="12" t="s">
        <v>52</v>
      </c>
      <c r="B80" s="10" t="s">
        <v>167</v>
      </c>
    </row>
    <row r="81" spans="1:4">
      <c r="A81" s="12" t="s">
        <v>42</v>
      </c>
      <c r="B81" s="10" t="s">
        <v>167</v>
      </c>
    </row>
    <row r="82" spans="1:4">
      <c r="A82" s="12" t="s">
        <v>84</v>
      </c>
      <c r="B82" s="10" t="s">
        <v>168</v>
      </c>
    </row>
    <row r="83" spans="1:4">
      <c r="A83" s="12" t="s">
        <v>113</v>
      </c>
      <c r="B83" s="10" t="s">
        <v>168</v>
      </c>
      <c r="D83" s="14"/>
    </row>
    <row r="84" spans="1:4">
      <c r="A84" s="12" t="s">
        <v>103</v>
      </c>
      <c r="B84" s="10" t="s">
        <v>168</v>
      </c>
      <c r="D84" s="14" t="s">
        <v>113</v>
      </c>
    </row>
    <row r="85" spans="1:4">
      <c r="A85" s="12" t="s">
        <v>108</v>
      </c>
      <c r="B85" s="10" t="s">
        <v>168</v>
      </c>
      <c r="D85" s="14" t="s">
        <v>103</v>
      </c>
    </row>
    <row r="86" spans="1:4">
      <c r="A86" s="13" t="s">
        <v>100</v>
      </c>
      <c r="B86" s="10" t="s">
        <v>168</v>
      </c>
      <c r="D86" s="14" t="s">
        <v>108</v>
      </c>
    </row>
    <row r="87" spans="1:4">
      <c r="A87" s="12" t="s">
        <v>106</v>
      </c>
      <c r="B87" s="10" t="s">
        <v>168</v>
      </c>
      <c r="D87" s="14" t="s">
        <v>169</v>
      </c>
    </row>
    <row r="88" spans="1:4">
      <c r="A88" s="12" t="s">
        <v>48</v>
      </c>
      <c r="B88" s="10" t="s">
        <v>168</v>
      </c>
      <c r="D88" s="14" t="s">
        <v>106</v>
      </c>
    </row>
    <row r="89" spans="1:4">
      <c r="A89" s="15"/>
      <c r="D89" s="14" t="s">
        <v>48</v>
      </c>
    </row>
    <row r="90" spans="1:4">
      <c r="A90" s="15"/>
    </row>
    <row r="91" spans="1:4">
      <c r="A91" s="15"/>
    </row>
    <row r="92" spans="1:4">
      <c r="A92" s="15"/>
    </row>
    <row r="93" spans="1:4">
      <c r="A93" s="15"/>
    </row>
    <row r="94" spans="1:4">
      <c r="A94" s="15"/>
    </row>
    <row r="95" spans="1:4">
      <c r="A95" s="15"/>
    </row>
    <row r="96" spans="1:4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  <row r="276" spans="1:1">
      <c r="A276" s="15"/>
    </row>
    <row r="277" spans="1:1">
      <c r="A277" s="15"/>
    </row>
    <row r="278" spans="1:1">
      <c r="A278" s="15"/>
    </row>
    <row r="279" spans="1:1">
      <c r="A279" s="15"/>
    </row>
    <row r="280" spans="1:1">
      <c r="A280" s="15"/>
    </row>
    <row r="281" spans="1:1">
      <c r="A281" s="15"/>
    </row>
    <row r="282" spans="1:1">
      <c r="A282" s="15"/>
    </row>
    <row r="283" spans="1:1">
      <c r="A283" s="15"/>
    </row>
    <row r="284" spans="1:1">
      <c r="A284" s="15"/>
    </row>
    <row r="285" spans="1:1">
      <c r="A285" s="15"/>
    </row>
    <row r="286" spans="1:1">
      <c r="A286" s="15"/>
    </row>
    <row r="287" spans="1:1">
      <c r="A287" s="15"/>
    </row>
    <row r="288" spans="1:1">
      <c r="A288" s="15"/>
    </row>
    <row r="289" spans="1:1">
      <c r="A289" s="15"/>
    </row>
    <row r="290" spans="1:1">
      <c r="A290" s="15"/>
    </row>
    <row r="291" spans="1:1">
      <c r="A291" s="15"/>
    </row>
    <row r="292" spans="1:1">
      <c r="A292" s="15"/>
    </row>
    <row r="293" spans="1:1">
      <c r="A293" s="15"/>
    </row>
    <row r="294" spans="1:1">
      <c r="A294" s="15"/>
    </row>
    <row r="295" spans="1:1">
      <c r="A295" s="15"/>
    </row>
    <row r="296" spans="1:1">
      <c r="A296" s="15"/>
    </row>
    <row r="297" spans="1:1">
      <c r="A297" s="15"/>
    </row>
    <row r="298" spans="1:1">
      <c r="A298" s="15"/>
    </row>
    <row r="299" spans="1:1">
      <c r="A299" s="15"/>
    </row>
    <row r="300" spans="1:1">
      <c r="A300" s="15"/>
    </row>
    <row r="301" spans="1:1">
      <c r="A301" s="15"/>
    </row>
    <row r="302" spans="1:1">
      <c r="A302" s="15"/>
    </row>
    <row r="303" spans="1:1">
      <c r="A303" s="15"/>
    </row>
    <row r="304" spans="1:1">
      <c r="A304" s="15"/>
    </row>
    <row r="305" spans="1:1">
      <c r="A305" s="15"/>
    </row>
    <row r="306" spans="1:1">
      <c r="A306" s="15"/>
    </row>
    <row r="307" spans="1:1">
      <c r="A307" s="15"/>
    </row>
    <row r="308" spans="1:1">
      <c r="A308" s="15"/>
    </row>
    <row r="309" spans="1:1">
      <c r="A309" s="15"/>
    </row>
    <row r="310" spans="1:1">
      <c r="A310" s="15"/>
    </row>
    <row r="311" spans="1:1">
      <c r="A311" s="15"/>
    </row>
    <row r="312" spans="1:1">
      <c r="A312" s="15"/>
    </row>
    <row r="313" spans="1:1">
      <c r="A313" s="15"/>
    </row>
    <row r="314" spans="1:1">
      <c r="A314" s="15"/>
    </row>
    <row r="315" spans="1:1">
      <c r="A315" s="15"/>
    </row>
    <row r="316" spans="1:1">
      <c r="A316" s="15"/>
    </row>
    <row r="317" spans="1:1">
      <c r="A317" s="15"/>
    </row>
    <row r="318" spans="1:1">
      <c r="A318" s="15"/>
    </row>
    <row r="319" spans="1:1">
      <c r="A319" s="15"/>
    </row>
    <row r="320" spans="1:1">
      <c r="A320" s="15"/>
    </row>
    <row r="321" spans="1:1">
      <c r="A321" s="15"/>
    </row>
    <row r="322" spans="1:1">
      <c r="A322" s="15"/>
    </row>
    <row r="323" spans="1:1">
      <c r="A323" s="15"/>
    </row>
    <row r="324" spans="1:1">
      <c r="A324" s="15"/>
    </row>
    <row r="325" spans="1:1">
      <c r="A325" s="15"/>
    </row>
    <row r="326" spans="1:1">
      <c r="A326" s="15"/>
    </row>
    <row r="327" spans="1:1">
      <c r="A327" s="15"/>
    </row>
    <row r="328" spans="1:1">
      <c r="A328" s="15"/>
    </row>
    <row r="329" spans="1:1">
      <c r="A329" s="15"/>
    </row>
    <row r="330" spans="1:1">
      <c r="A330" s="15"/>
    </row>
    <row r="331" spans="1:1">
      <c r="A331" s="15"/>
    </row>
    <row r="332" spans="1:1">
      <c r="A332" s="15"/>
    </row>
    <row r="333" spans="1:1">
      <c r="A333" s="15"/>
    </row>
    <row r="334" spans="1:1">
      <c r="A334" s="15"/>
    </row>
    <row r="335" spans="1:1">
      <c r="A335" s="15"/>
    </row>
    <row r="336" spans="1:1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  <row r="403" spans="1:1">
      <c r="A403" s="15"/>
    </row>
    <row r="404" spans="1:1">
      <c r="A404" s="15"/>
    </row>
    <row r="405" spans="1:1">
      <c r="A405" s="15"/>
    </row>
    <row r="406" spans="1:1">
      <c r="A406" s="15"/>
    </row>
    <row r="407" spans="1:1">
      <c r="A407" s="15"/>
    </row>
    <row r="408" spans="1:1">
      <c r="A408" s="15"/>
    </row>
    <row r="409" spans="1:1">
      <c r="A409" s="15"/>
    </row>
    <row r="410" spans="1:1">
      <c r="A410" s="15"/>
    </row>
    <row r="411" spans="1:1">
      <c r="A411" s="15"/>
    </row>
    <row r="412" spans="1:1">
      <c r="A412" s="15"/>
    </row>
    <row r="413" spans="1:1">
      <c r="A413" s="15"/>
    </row>
    <row r="414" spans="1:1">
      <c r="A414" s="15"/>
    </row>
    <row r="415" spans="1:1">
      <c r="A415" s="15"/>
    </row>
    <row r="416" spans="1:1">
      <c r="A416" s="15"/>
    </row>
    <row r="417" spans="1:1">
      <c r="A417" s="15"/>
    </row>
    <row r="418" spans="1:1">
      <c r="A418" s="15"/>
    </row>
    <row r="419" spans="1:1">
      <c r="A419" s="15"/>
    </row>
    <row r="420" spans="1:1">
      <c r="A420" s="15"/>
    </row>
    <row r="421" spans="1:1">
      <c r="A421" s="15"/>
    </row>
    <row r="422" spans="1:1">
      <c r="A422" s="15"/>
    </row>
    <row r="423" spans="1:1">
      <c r="A423" s="15"/>
    </row>
    <row r="424" spans="1:1">
      <c r="A424" s="15"/>
    </row>
    <row r="425" spans="1:1">
      <c r="A425" s="15"/>
    </row>
    <row r="426" spans="1:1">
      <c r="A426" s="15"/>
    </row>
    <row r="427" spans="1:1">
      <c r="A427" s="15"/>
    </row>
    <row r="428" spans="1:1">
      <c r="A428" s="15"/>
    </row>
    <row r="429" spans="1:1">
      <c r="A429" s="15"/>
    </row>
    <row r="430" spans="1:1">
      <c r="A430" s="15"/>
    </row>
    <row r="431" spans="1:1">
      <c r="A431" s="15"/>
    </row>
    <row r="432" spans="1:1">
      <c r="A432" s="15"/>
    </row>
    <row r="433" spans="1:1">
      <c r="A433" s="15"/>
    </row>
    <row r="434" spans="1:1">
      <c r="A434" s="15"/>
    </row>
    <row r="435" spans="1:1">
      <c r="A435" s="15"/>
    </row>
    <row r="436" spans="1:1">
      <c r="A436" s="15"/>
    </row>
    <row r="437" spans="1:1">
      <c r="A437" s="15"/>
    </row>
    <row r="438" spans="1:1">
      <c r="A438" s="15"/>
    </row>
    <row r="439" spans="1:1">
      <c r="A439" s="15"/>
    </row>
    <row r="440" spans="1:1">
      <c r="A440" s="15"/>
    </row>
    <row r="441" spans="1:1">
      <c r="A441" s="15"/>
    </row>
    <row r="442" spans="1:1">
      <c r="A442" s="15"/>
    </row>
    <row r="443" spans="1:1">
      <c r="A443" s="15"/>
    </row>
    <row r="444" spans="1:1">
      <c r="A444" s="15"/>
    </row>
    <row r="445" spans="1:1">
      <c r="A445" s="15"/>
    </row>
    <row r="446" spans="1:1">
      <c r="A446" s="15"/>
    </row>
    <row r="447" spans="1:1">
      <c r="A447" s="15"/>
    </row>
    <row r="448" spans="1:1">
      <c r="A448" s="15"/>
    </row>
    <row r="449" spans="1:1">
      <c r="A449" s="15"/>
    </row>
    <row r="450" spans="1:1">
      <c r="A450" s="15"/>
    </row>
    <row r="451" spans="1:1">
      <c r="A451" s="15"/>
    </row>
    <row r="452" spans="1:1">
      <c r="A452" s="15"/>
    </row>
    <row r="453" spans="1:1">
      <c r="A453" s="15"/>
    </row>
    <row r="454" spans="1:1">
      <c r="A454" s="15"/>
    </row>
    <row r="455" spans="1:1">
      <c r="A455" s="15"/>
    </row>
    <row r="456" spans="1:1">
      <c r="A456" s="15"/>
    </row>
    <row r="457" spans="1:1">
      <c r="A457" s="15"/>
    </row>
    <row r="458" spans="1:1">
      <c r="A458" s="15"/>
    </row>
    <row r="459" spans="1:1">
      <c r="A459" s="15"/>
    </row>
    <row r="460" spans="1:1">
      <c r="A460" s="15"/>
    </row>
    <row r="461" spans="1:1">
      <c r="A461" s="15"/>
    </row>
    <row r="462" spans="1:1">
      <c r="A462" s="15"/>
    </row>
    <row r="463" spans="1:1">
      <c r="A463" s="15"/>
    </row>
    <row r="464" spans="1:1">
      <c r="A464" s="15"/>
    </row>
    <row r="465" spans="1:1">
      <c r="A465" s="15"/>
    </row>
    <row r="466" spans="1:1">
      <c r="A466" s="15"/>
    </row>
    <row r="467" spans="1:1">
      <c r="A467" s="15"/>
    </row>
    <row r="468" spans="1:1">
      <c r="A468" s="15"/>
    </row>
    <row r="469" spans="1:1">
      <c r="A469" s="15"/>
    </row>
    <row r="470" spans="1:1">
      <c r="A470" s="15"/>
    </row>
    <row r="471" spans="1:1">
      <c r="A471" s="15"/>
    </row>
    <row r="472" spans="1:1">
      <c r="A472" s="15"/>
    </row>
    <row r="473" spans="1:1">
      <c r="A473" s="15"/>
    </row>
    <row r="474" spans="1:1">
      <c r="A474" s="15"/>
    </row>
    <row r="475" spans="1:1">
      <c r="A475" s="15"/>
    </row>
    <row r="476" spans="1:1">
      <c r="A476" s="15"/>
    </row>
    <row r="477" spans="1:1">
      <c r="A477" s="15"/>
    </row>
    <row r="478" spans="1:1">
      <c r="A478" s="15"/>
    </row>
    <row r="479" spans="1:1">
      <c r="A479" s="15"/>
    </row>
    <row r="480" spans="1:1">
      <c r="A480" s="15"/>
    </row>
    <row r="481" spans="1:1">
      <c r="A481" s="15"/>
    </row>
    <row r="482" spans="1:1">
      <c r="A482" s="15"/>
    </row>
    <row r="483" spans="1:1">
      <c r="A483" s="15"/>
    </row>
    <row r="484" spans="1:1">
      <c r="A484" s="15"/>
    </row>
    <row r="485" spans="1:1">
      <c r="A485" s="15"/>
    </row>
    <row r="486" spans="1:1">
      <c r="A486" s="15"/>
    </row>
    <row r="487" spans="1:1">
      <c r="A487" s="15"/>
    </row>
    <row r="488" spans="1:1">
      <c r="A488" s="15"/>
    </row>
    <row r="489" spans="1:1">
      <c r="A489" s="15"/>
    </row>
    <row r="490" spans="1:1">
      <c r="A490" s="15"/>
    </row>
    <row r="491" spans="1:1">
      <c r="A491" s="15"/>
    </row>
    <row r="492" spans="1:1">
      <c r="A492" s="15"/>
    </row>
    <row r="493" spans="1:1">
      <c r="A493" s="15"/>
    </row>
    <row r="494" spans="1:1">
      <c r="A494" s="15"/>
    </row>
    <row r="495" spans="1:1">
      <c r="A495" s="15"/>
    </row>
    <row r="496" spans="1:1">
      <c r="A496" s="15"/>
    </row>
    <row r="497" spans="1:1">
      <c r="A497" s="15"/>
    </row>
    <row r="498" spans="1:1">
      <c r="A498" s="15"/>
    </row>
    <row r="499" spans="1:1">
      <c r="A499" s="15"/>
    </row>
    <row r="500" spans="1:1">
      <c r="A500" s="15"/>
    </row>
    <row r="501" spans="1:1">
      <c r="A501" s="15"/>
    </row>
    <row r="502" spans="1:1">
      <c r="A502" s="15"/>
    </row>
    <row r="503" spans="1:1">
      <c r="A503" s="15"/>
    </row>
    <row r="504" spans="1:1">
      <c r="A504" s="15"/>
    </row>
    <row r="505" spans="1:1">
      <c r="A505" s="15"/>
    </row>
    <row r="506" spans="1:1">
      <c r="A506" s="15"/>
    </row>
    <row r="507" spans="1:1">
      <c r="A507" s="15"/>
    </row>
    <row r="508" spans="1:1">
      <c r="A508" s="15"/>
    </row>
    <row r="509" spans="1:1">
      <c r="A509" s="15"/>
    </row>
    <row r="510" spans="1:1">
      <c r="A510" s="15"/>
    </row>
    <row r="511" spans="1:1">
      <c r="A511" s="15"/>
    </row>
    <row r="512" spans="1:1">
      <c r="A512" s="15"/>
    </row>
    <row r="513" spans="1:1">
      <c r="A513" s="15"/>
    </row>
    <row r="514" spans="1:1">
      <c r="A514" s="15"/>
    </row>
    <row r="515" spans="1:1">
      <c r="A515" s="15"/>
    </row>
    <row r="516" spans="1:1">
      <c r="A516" s="15"/>
    </row>
    <row r="517" spans="1:1">
      <c r="A517" s="15"/>
    </row>
    <row r="518" spans="1:1">
      <c r="A518" s="15"/>
    </row>
    <row r="519" spans="1:1">
      <c r="A519" s="15"/>
    </row>
    <row r="520" spans="1:1">
      <c r="A520" s="15"/>
    </row>
    <row r="521" spans="1:1">
      <c r="A521" s="15"/>
    </row>
    <row r="522" spans="1:1">
      <c r="A522" s="15"/>
    </row>
    <row r="523" spans="1:1">
      <c r="A523" s="15"/>
    </row>
    <row r="524" spans="1:1">
      <c r="A524" s="15"/>
    </row>
    <row r="525" spans="1:1">
      <c r="A525" s="15"/>
    </row>
    <row r="526" spans="1:1">
      <c r="A526" s="15"/>
    </row>
    <row r="527" spans="1:1">
      <c r="A527" s="15"/>
    </row>
    <row r="528" spans="1:1">
      <c r="A528" s="15"/>
    </row>
    <row r="529" spans="1:1">
      <c r="A529" s="15"/>
    </row>
    <row r="530" spans="1:1">
      <c r="A530" s="15"/>
    </row>
    <row r="531" spans="1:1">
      <c r="A531" s="15"/>
    </row>
    <row r="532" spans="1:1">
      <c r="A532" s="15"/>
    </row>
    <row r="533" spans="1:1">
      <c r="A533" s="15"/>
    </row>
    <row r="534" spans="1:1">
      <c r="A534" s="15"/>
    </row>
    <row r="535" spans="1:1">
      <c r="A535" s="15"/>
    </row>
    <row r="536" spans="1:1">
      <c r="A536" s="15"/>
    </row>
    <row r="537" spans="1:1">
      <c r="A537" s="15"/>
    </row>
    <row r="538" spans="1:1">
      <c r="A538" s="15"/>
    </row>
    <row r="539" spans="1:1">
      <c r="A539" s="15"/>
    </row>
    <row r="540" spans="1:1">
      <c r="A540" s="15"/>
    </row>
    <row r="541" spans="1:1">
      <c r="A541" s="15"/>
    </row>
    <row r="542" spans="1:1">
      <c r="A542" s="15"/>
    </row>
    <row r="543" spans="1:1">
      <c r="A543" s="15"/>
    </row>
    <row r="544" spans="1:1">
      <c r="A544" s="15"/>
    </row>
    <row r="545" spans="1:1">
      <c r="A545" s="15"/>
    </row>
    <row r="546" spans="1:1">
      <c r="A546" s="15"/>
    </row>
    <row r="547" spans="1:1">
      <c r="A547" s="15"/>
    </row>
    <row r="548" spans="1:1">
      <c r="A548" s="15"/>
    </row>
    <row r="549" spans="1:1">
      <c r="A549" s="15"/>
    </row>
    <row r="550" spans="1:1">
      <c r="A550" s="15"/>
    </row>
    <row r="551" spans="1:1">
      <c r="A551" s="15"/>
    </row>
    <row r="552" spans="1:1">
      <c r="A552" s="15"/>
    </row>
    <row r="553" spans="1:1">
      <c r="A553" s="15"/>
    </row>
    <row r="554" spans="1:1">
      <c r="A554" s="15"/>
    </row>
    <row r="555" spans="1:1">
      <c r="A555" s="15"/>
    </row>
    <row r="556" spans="1:1">
      <c r="A556" s="15"/>
    </row>
    <row r="557" spans="1:1">
      <c r="A557" s="15"/>
    </row>
    <row r="558" spans="1:1">
      <c r="A558" s="15"/>
    </row>
    <row r="559" spans="1:1">
      <c r="A559" s="15"/>
    </row>
    <row r="560" spans="1:1">
      <c r="A560" s="15"/>
    </row>
    <row r="561" spans="1:1">
      <c r="A561" s="15"/>
    </row>
    <row r="562" spans="1:1">
      <c r="A562" s="15"/>
    </row>
    <row r="563" spans="1:1">
      <c r="A563" s="15"/>
    </row>
    <row r="564" spans="1:1">
      <c r="A564" s="15"/>
    </row>
    <row r="565" spans="1:1">
      <c r="A565" s="15"/>
    </row>
    <row r="566" spans="1:1">
      <c r="A566" s="15"/>
    </row>
    <row r="567" spans="1:1">
      <c r="A567" s="15"/>
    </row>
    <row r="568" spans="1:1">
      <c r="A568" s="15"/>
    </row>
    <row r="569" spans="1:1">
      <c r="A569" s="15"/>
    </row>
    <row r="570" spans="1:1">
      <c r="A570" s="15"/>
    </row>
    <row r="571" spans="1:1">
      <c r="A571" s="15"/>
    </row>
    <row r="572" spans="1:1">
      <c r="A572" s="15"/>
    </row>
    <row r="573" spans="1:1">
      <c r="A573" s="15"/>
    </row>
    <row r="574" spans="1:1">
      <c r="A574" s="15"/>
    </row>
    <row r="575" spans="1:1">
      <c r="A575" s="15"/>
    </row>
    <row r="576" spans="1:1">
      <c r="A576" s="15"/>
    </row>
    <row r="577" spans="1:1">
      <c r="A577" s="15"/>
    </row>
    <row r="578" spans="1:1">
      <c r="A578" s="15"/>
    </row>
    <row r="579" spans="1:1">
      <c r="A579" s="15"/>
    </row>
    <row r="580" spans="1:1">
      <c r="A580" s="15"/>
    </row>
    <row r="581" spans="1:1">
      <c r="A581" s="15"/>
    </row>
    <row r="582" spans="1:1">
      <c r="A582" s="15"/>
    </row>
    <row r="583" spans="1:1">
      <c r="A583" s="15"/>
    </row>
    <row r="584" spans="1:1">
      <c r="A584" s="15"/>
    </row>
    <row r="585" spans="1:1">
      <c r="A585" s="15"/>
    </row>
    <row r="586" spans="1:1">
      <c r="A586" s="15"/>
    </row>
    <row r="587" spans="1:1">
      <c r="A587" s="15"/>
    </row>
    <row r="588" spans="1:1">
      <c r="A588" s="15"/>
    </row>
    <row r="589" spans="1:1">
      <c r="A589" s="15"/>
    </row>
    <row r="590" spans="1:1">
      <c r="A590" s="15"/>
    </row>
    <row r="591" spans="1:1">
      <c r="A591" s="15"/>
    </row>
    <row r="592" spans="1:1">
      <c r="A592" s="15"/>
    </row>
    <row r="593" spans="1:1">
      <c r="A593" s="15"/>
    </row>
    <row r="594" spans="1:1">
      <c r="A594" s="15"/>
    </row>
    <row r="595" spans="1:1">
      <c r="A595" s="15"/>
    </row>
    <row r="596" spans="1:1">
      <c r="A596" s="15"/>
    </row>
    <row r="597" spans="1:1">
      <c r="A597" s="15"/>
    </row>
    <row r="598" spans="1:1">
      <c r="A598" s="15"/>
    </row>
    <row r="599" spans="1:1">
      <c r="A599" s="15"/>
    </row>
    <row r="600" spans="1:1">
      <c r="A600" s="15"/>
    </row>
    <row r="601" spans="1:1">
      <c r="A601" s="15"/>
    </row>
    <row r="602" spans="1:1">
      <c r="A602" s="15"/>
    </row>
    <row r="603" spans="1:1">
      <c r="A603" s="15"/>
    </row>
    <row r="604" spans="1:1">
      <c r="A604" s="15"/>
    </row>
    <row r="605" spans="1:1">
      <c r="A605" s="15"/>
    </row>
    <row r="606" spans="1:1">
      <c r="A606" s="15"/>
    </row>
    <row r="607" spans="1:1">
      <c r="A607" s="15"/>
    </row>
    <row r="608" spans="1:1">
      <c r="A608" s="15"/>
    </row>
    <row r="609" spans="1:1">
      <c r="A609" s="15"/>
    </row>
    <row r="610" spans="1:1">
      <c r="A610" s="15"/>
    </row>
    <row r="611" spans="1:1">
      <c r="A611" s="15"/>
    </row>
    <row r="612" spans="1:1">
      <c r="A612" s="15"/>
    </row>
    <row r="613" spans="1:1">
      <c r="A613" s="15"/>
    </row>
    <row r="614" spans="1:1">
      <c r="A614" s="15"/>
    </row>
    <row r="615" spans="1:1">
      <c r="A615" s="15"/>
    </row>
    <row r="616" spans="1:1">
      <c r="A616" s="15"/>
    </row>
    <row r="617" spans="1:1">
      <c r="A617" s="15"/>
    </row>
    <row r="618" spans="1:1">
      <c r="A618" s="15"/>
    </row>
    <row r="619" spans="1:1">
      <c r="A619" s="15"/>
    </row>
    <row r="620" spans="1:1">
      <c r="A620" s="15"/>
    </row>
    <row r="621" spans="1:1">
      <c r="A621" s="15"/>
    </row>
    <row r="622" spans="1:1">
      <c r="A622" s="15"/>
    </row>
    <row r="623" spans="1:1">
      <c r="A623" s="15"/>
    </row>
    <row r="624" spans="1:1">
      <c r="A624" s="15"/>
    </row>
    <row r="625" spans="1:1">
      <c r="A625" s="15"/>
    </row>
    <row r="626" spans="1:1">
      <c r="A626" s="15"/>
    </row>
    <row r="627" spans="1:1">
      <c r="A627" s="15"/>
    </row>
    <row r="628" spans="1:1">
      <c r="A628" s="15"/>
    </row>
    <row r="629" spans="1:1">
      <c r="A629" s="15"/>
    </row>
    <row r="630" spans="1:1">
      <c r="A630" s="15"/>
    </row>
    <row r="631" spans="1:1">
      <c r="A631" s="15"/>
    </row>
    <row r="632" spans="1:1">
      <c r="A632" s="15"/>
    </row>
    <row r="633" spans="1:1">
      <c r="A633" s="15"/>
    </row>
    <row r="634" spans="1:1">
      <c r="A634" s="15"/>
    </row>
    <row r="635" spans="1:1">
      <c r="A635" s="15"/>
    </row>
    <row r="636" spans="1:1">
      <c r="A636" s="15"/>
    </row>
    <row r="637" spans="1:1">
      <c r="A637" s="15"/>
    </row>
    <row r="638" spans="1:1">
      <c r="A638" s="15"/>
    </row>
    <row r="639" spans="1:1">
      <c r="A639" s="15"/>
    </row>
    <row r="640" spans="1:1">
      <c r="A640" s="15"/>
    </row>
    <row r="641" spans="1:1">
      <c r="A641" s="15"/>
    </row>
    <row r="642" spans="1:1">
      <c r="A642" s="15"/>
    </row>
    <row r="643" spans="1:1">
      <c r="A643" s="15"/>
    </row>
    <row r="644" spans="1:1">
      <c r="A644" s="15"/>
    </row>
    <row r="645" spans="1:1">
      <c r="A645" s="15"/>
    </row>
    <row r="646" spans="1:1">
      <c r="A646" s="15"/>
    </row>
    <row r="647" spans="1:1">
      <c r="A647" s="15"/>
    </row>
    <row r="648" spans="1:1">
      <c r="A648" s="15"/>
    </row>
    <row r="649" spans="1:1">
      <c r="A649" s="15"/>
    </row>
    <row r="650" spans="1:1">
      <c r="A650" s="15"/>
    </row>
    <row r="651" spans="1:1">
      <c r="A651" s="15"/>
    </row>
    <row r="652" spans="1:1">
      <c r="A652" s="15"/>
    </row>
    <row r="653" spans="1:1">
      <c r="A653" s="15"/>
    </row>
    <row r="654" spans="1:1">
      <c r="A654" s="15"/>
    </row>
    <row r="655" spans="1:1">
      <c r="A655" s="15"/>
    </row>
    <row r="656" spans="1:1">
      <c r="A656" s="15"/>
    </row>
    <row r="657" spans="1:1">
      <c r="A657" s="15"/>
    </row>
    <row r="658" spans="1:1">
      <c r="A658" s="15"/>
    </row>
    <row r="659" spans="1:1">
      <c r="A659" s="15"/>
    </row>
    <row r="660" spans="1:1">
      <c r="A660" s="15"/>
    </row>
    <row r="661" spans="1:1">
      <c r="A661" s="15"/>
    </row>
    <row r="662" spans="1:1">
      <c r="A662" s="15"/>
    </row>
    <row r="663" spans="1:1">
      <c r="A663" s="15"/>
    </row>
    <row r="664" spans="1:1">
      <c r="A664" s="15"/>
    </row>
    <row r="665" spans="1:1">
      <c r="A665" s="15"/>
    </row>
    <row r="666" spans="1:1">
      <c r="A666" s="15"/>
    </row>
    <row r="667" spans="1:1">
      <c r="A667" s="15"/>
    </row>
    <row r="668" spans="1:1">
      <c r="A668" s="15"/>
    </row>
    <row r="669" spans="1:1">
      <c r="A669" s="15"/>
    </row>
    <row r="670" spans="1:1">
      <c r="A670" s="15"/>
    </row>
    <row r="671" spans="1:1">
      <c r="A671" s="15"/>
    </row>
    <row r="672" spans="1:1">
      <c r="A672" s="15"/>
    </row>
    <row r="673" spans="1:1">
      <c r="A673" s="15"/>
    </row>
    <row r="674" spans="1:1">
      <c r="A674" s="15"/>
    </row>
    <row r="675" spans="1:1">
      <c r="A675" s="15"/>
    </row>
    <row r="676" spans="1:1">
      <c r="A676" s="15"/>
    </row>
    <row r="677" spans="1:1">
      <c r="A677" s="15"/>
    </row>
    <row r="678" spans="1:1">
      <c r="A678" s="15"/>
    </row>
    <row r="679" spans="1:1">
      <c r="A679" s="15"/>
    </row>
    <row r="680" spans="1:1">
      <c r="A680" s="15"/>
    </row>
    <row r="681" spans="1:1">
      <c r="A681" s="15"/>
    </row>
    <row r="682" spans="1:1">
      <c r="A682" s="15"/>
    </row>
    <row r="683" spans="1:1">
      <c r="A683" s="15"/>
    </row>
    <row r="684" spans="1:1">
      <c r="A684" s="15"/>
    </row>
    <row r="685" spans="1:1">
      <c r="A685" s="15"/>
    </row>
    <row r="686" spans="1:1">
      <c r="A686" s="15"/>
    </row>
    <row r="687" spans="1:1">
      <c r="A687" s="15"/>
    </row>
    <row r="688" spans="1:1">
      <c r="A688" s="15"/>
    </row>
    <row r="689" spans="1:1">
      <c r="A689" s="15"/>
    </row>
    <row r="690" spans="1:1">
      <c r="A690" s="15"/>
    </row>
    <row r="691" spans="1:1">
      <c r="A691" s="15"/>
    </row>
    <row r="692" spans="1:1">
      <c r="A692" s="15"/>
    </row>
    <row r="693" spans="1:1">
      <c r="A693" s="15"/>
    </row>
    <row r="694" spans="1:1">
      <c r="A694" s="15"/>
    </row>
    <row r="695" spans="1:1">
      <c r="A695" s="15"/>
    </row>
    <row r="696" spans="1:1">
      <c r="A696" s="15"/>
    </row>
    <row r="697" spans="1:1">
      <c r="A697" s="15"/>
    </row>
    <row r="698" spans="1:1">
      <c r="A698" s="15"/>
    </row>
    <row r="699" spans="1:1">
      <c r="A699" s="15"/>
    </row>
    <row r="700" spans="1:1">
      <c r="A700" s="15"/>
    </row>
    <row r="701" spans="1:1">
      <c r="A701" s="15"/>
    </row>
    <row r="702" spans="1:1">
      <c r="A702" s="15"/>
    </row>
    <row r="703" spans="1:1">
      <c r="A703" s="15"/>
    </row>
    <row r="704" spans="1:1">
      <c r="A704" s="15"/>
    </row>
    <row r="705" spans="1:1">
      <c r="A705" s="15"/>
    </row>
    <row r="706" spans="1:1">
      <c r="A706" s="15"/>
    </row>
    <row r="707" spans="1:1">
      <c r="A707" s="15"/>
    </row>
    <row r="708" spans="1:1">
      <c r="A708" s="15"/>
    </row>
    <row r="709" spans="1:1">
      <c r="A709" s="15"/>
    </row>
    <row r="710" spans="1:1">
      <c r="A710" s="15"/>
    </row>
    <row r="711" spans="1:1">
      <c r="A711" s="15"/>
    </row>
    <row r="712" spans="1:1">
      <c r="A712" s="15"/>
    </row>
    <row r="713" spans="1:1">
      <c r="A713" s="15"/>
    </row>
    <row r="714" spans="1:1">
      <c r="A714" s="15"/>
    </row>
    <row r="715" spans="1:1">
      <c r="A715" s="15"/>
    </row>
    <row r="716" spans="1:1">
      <c r="A716" s="15"/>
    </row>
    <row r="717" spans="1:1">
      <c r="A717" s="15"/>
    </row>
    <row r="718" spans="1:1">
      <c r="A718" s="15"/>
    </row>
    <row r="719" spans="1:1">
      <c r="A719" s="15"/>
    </row>
    <row r="720" spans="1:1">
      <c r="A720" s="15"/>
    </row>
    <row r="721" spans="1:1">
      <c r="A721" s="15"/>
    </row>
    <row r="722" spans="1:1">
      <c r="A722" s="15"/>
    </row>
    <row r="723" spans="1:1">
      <c r="A723" s="15"/>
    </row>
    <row r="724" spans="1:1">
      <c r="A724" s="15"/>
    </row>
    <row r="725" spans="1:1">
      <c r="A725" s="15"/>
    </row>
    <row r="726" spans="1:1">
      <c r="A726" s="15"/>
    </row>
    <row r="727" spans="1:1">
      <c r="A727" s="15"/>
    </row>
    <row r="728" spans="1:1">
      <c r="A728" s="15"/>
    </row>
    <row r="729" spans="1:1">
      <c r="A729" s="15"/>
    </row>
    <row r="730" spans="1:1">
      <c r="A730" s="15"/>
    </row>
    <row r="731" spans="1:1">
      <c r="A731" s="15"/>
    </row>
    <row r="732" spans="1:1">
      <c r="A732" s="15"/>
    </row>
    <row r="733" spans="1:1">
      <c r="A733" s="15"/>
    </row>
    <row r="734" spans="1:1">
      <c r="A734" s="15"/>
    </row>
    <row r="735" spans="1:1">
      <c r="A735" s="15"/>
    </row>
    <row r="736" spans="1:1">
      <c r="A736" s="15"/>
    </row>
    <row r="737" spans="1:1">
      <c r="A737" s="15"/>
    </row>
    <row r="738" spans="1:1">
      <c r="A738" s="15"/>
    </row>
    <row r="739" spans="1:1">
      <c r="A739" s="15"/>
    </row>
    <row r="740" spans="1:1">
      <c r="A740" s="15"/>
    </row>
    <row r="741" spans="1:1">
      <c r="A741" s="15"/>
    </row>
    <row r="742" spans="1:1">
      <c r="A742" s="15"/>
    </row>
    <row r="743" spans="1:1">
      <c r="A743" s="15"/>
    </row>
    <row r="744" spans="1:1">
      <c r="A744" s="15"/>
    </row>
    <row r="745" spans="1:1">
      <c r="A745" s="15"/>
    </row>
    <row r="746" spans="1:1">
      <c r="A746" s="15"/>
    </row>
    <row r="747" spans="1:1">
      <c r="A747" s="15"/>
    </row>
    <row r="748" spans="1:1">
      <c r="A748" s="15"/>
    </row>
    <row r="749" spans="1:1">
      <c r="A749" s="15"/>
    </row>
    <row r="750" spans="1:1">
      <c r="A750" s="15"/>
    </row>
    <row r="751" spans="1:1">
      <c r="A751" s="15"/>
    </row>
    <row r="752" spans="1:1">
      <c r="A752" s="15"/>
    </row>
    <row r="753" spans="1:1">
      <c r="A753" s="15"/>
    </row>
    <row r="754" spans="1:1">
      <c r="A754" s="15"/>
    </row>
    <row r="755" spans="1:1">
      <c r="A755" s="15"/>
    </row>
    <row r="756" spans="1:1">
      <c r="A756" s="15"/>
    </row>
    <row r="757" spans="1:1">
      <c r="A757" s="15"/>
    </row>
    <row r="758" spans="1:1">
      <c r="A758" s="15"/>
    </row>
    <row r="759" spans="1:1">
      <c r="A759" s="15"/>
    </row>
    <row r="760" spans="1:1">
      <c r="A760" s="15"/>
    </row>
    <row r="761" spans="1:1">
      <c r="A761" s="15"/>
    </row>
    <row r="762" spans="1:1">
      <c r="A762" s="15"/>
    </row>
    <row r="763" spans="1:1">
      <c r="A763" s="15"/>
    </row>
    <row r="764" spans="1:1">
      <c r="A764" s="15"/>
    </row>
    <row r="765" spans="1:1">
      <c r="A765" s="15"/>
    </row>
    <row r="766" spans="1:1">
      <c r="A766" s="15"/>
    </row>
    <row r="767" spans="1:1">
      <c r="A767" s="15"/>
    </row>
    <row r="768" spans="1:1">
      <c r="A768" s="15"/>
    </row>
    <row r="769" spans="1:1">
      <c r="A769" s="15"/>
    </row>
    <row r="770" spans="1:1">
      <c r="A770" s="15"/>
    </row>
    <row r="771" spans="1:1">
      <c r="A771" s="15"/>
    </row>
    <row r="772" spans="1:1">
      <c r="A772" s="15"/>
    </row>
    <row r="773" spans="1:1">
      <c r="A773" s="15"/>
    </row>
    <row r="774" spans="1:1">
      <c r="A774" s="15"/>
    </row>
    <row r="775" spans="1:1">
      <c r="A775" s="15"/>
    </row>
    <row r="776" spans="1:1">
      <c r="A776" s="15"/>
    </row>
    <row r="777" spans="1:1">
      <c r="A777" s="15"/>
    </row>
    <row r="778" spans="1:1">
      <c r="A778" s="15"/>
    </row>
    <row r="779" spans="1:1">
      <c r="A779" s="15"/>
    </row>
    <row r="780" spans="1:1">
      <c r="A780" s="15"/>
    </row>
    <row r="781" spans="1:1">
      <c r="A781" s="15"/>
    </row>
    <row r="782" spans="1:1">
      <c r="A782" s="15"/>
    </row>
    <row r="783" spans="1:1">
      <c r="A783" s="15"/>
    </row>
    <row r="784" spans="1:1">
      <c r="A784" s="15"/>
    </row>
    <row r="785" spans="1:1">
      <c r="A785" s="15"/>
    </row>
    <row r="786" spans="1:1">
      <c r="A786" s="15"/>
    </row>
    <row r="787" spans="1:1">
      <c r="A787" s="15"/>
    </row>
    <row r="788" spans="1:1">
      <c r="A788" s="15"/>
    </row>
    <row r="789" spans="1:1">
      <c r="A789" s="15"/>
    </row>
    <row r="790" spans="1:1">
      <c r="A790" s="15"/>
    </row>
    <row r="791" spans="1:1">
      <c r="A791" s="15"/>
    </row>
    <row r="792" spans="1:1">
      <c r="A792" s="15"/>
    </row>
    <row r="793" spans="1:1">
      <c r="A793" s="15"/>
    </row>
    <row r="794" spans="1:1">
      <c r="A794" s="15"/>
    </row>
    <row r="795" spans="1:1">
      <c r="A795" s="15"/>
    </row>
    <row r="796" spans="1:1">
      <c r="A796" s="15"/>
    </row>
    <row r="797" spans="1:1">
      <c r="A797" s="15"/>
    </row>
    <row r="798" spans="1:1">
      <c r="A798" s="15"/>
    </row>
    <row r="799" spans="1:1">
      <c r="A799" s="15"/>
    </row>
    <row r="800" spans="1:1">
      <c r="A800" s="15"/>
    </row>
    <row r="801" spans="1:1">
      <c r="A801" s="15"/>
    </row>
    <row r="802" spans="1:1">
      <c r="A802" s="15"/>
    </row>
    <row r="803" spans="1:1">
      <c r="A803" s="15"/>
    </row>
    <row r="804" spans="1:1">
      <c r="A804" s="15"/>
    </row>
    <row r="805" spans="1:1">
      <c r="A805" s="15"/>
    </row>
    <row r="806" spans="1:1">
      <c r="A806" s="15"/>
    </row>
    <row r="807" spans="1:1">
      <c r="A807" s="15"/>
    </row>
    <row r="808" spans="1:1">
      <c r="A808" s="15"/>
    </row>
    <row r="809" spans="1:1">
      <c r="A809" s="15"/>
    </row>
    <row r="810" spans="1:1">
      <c r="A810" s="15"/>
    </row>
    <row r="811" spans="1:1">
      <c r="A811" s="15"/>
    </row>
    <row r="812" spans="1:1">
      <c r="A812" s="15"/>
    </row>
    <row r="813" spans="1:1">
      <c r="A813" s="15"/>
    </row>
    <row r="814" spans="1:1">
      <c r="A814" s="15"/>
    </row>
    <row r="815" spans="1:1">
      <c r="A815" s="15"/>
    </row>
    <row r="816" spans="1:1">
      <c r="A816" s="15"/>
    </row>
    <row r="817" spans="1:1">
      <c r="A817" s="15"/>
    </row>
    <row r="818" spans="1:1">
      <c r="A818" s="15"/>
    </row>
    <row r="819" spans="1:1">
      <c r="A819" s="15"/>
    </row>
    <row r="820" spans="1:1">
      <c r="A820" s="15"/>
    </row>
    <row r="821" spans="1:1">
      <c r="A821" s="15"/>
    </row>
    <row r="822" spans="1:1">
      <c r="A822" s="15"/>
    </row>
    <row r="823" spans="1:1">
      <c r="A823" s="15"/>
    </row>
    <row r="824" spans="1:1">
      <c r="A824" s="15"/>
    </row>
    <row r="825" spans="1:1">
      <c r="A825" s="15"/>
    </row>
    <row r="826" spans="1:1">
      <c r="A826" s="15"/>
    </row>
    <row r="827" spans="1:1">
      <c r="A827" s="15"/>
    </row>
    <row r="828" spans="1:1">
      <c r="A828" s="15"/>
    </row>
    <row r="829" spans="1:1">
      <c r="A829" s="15"/>
    </row>
    <row r="830" spans="1:1">
      <c r="A830" s="15"/>
    </row>
    <row r="831" spans="1:1">
      <c r="A831" s="15"/>
    </row>
    <row r="832" spans="1:1">
      <c r="A832" s="15"/>
    </row>
    <row r="833" spans="1:1">
      <c r="A833" s="15"/>
    </row>
    <row r="834" spans="1:1">
      <c r="A834" s="15"/>
    </row>
    <row r="835" spans="1:1">
      <c r="A835" s="15"/>
    </row>
    <row r="836" spans="1:1">
      <c r="A836" s="15"/>
    </row>
    <row r="837" spans="1:1">
      <c r="A837" s="15"/>
    </row>
    <row r="838" spans="1:1">
      <c r="A838" s="15"/>
    </row>
    <row r="839" spans="1:1">
      <c r="A839" s="15"/>
    </row>
    <row r="840" spans="1:1">
      <c r="A840" s="15"/>
    </row>
    <row r="841" spans="1:1">
      <c r="A841" s="15"/>
    </row>
    <row r="842" spans="1:1">
      <c r="A842" s="15"/>
    </row>
    <row r="843" spans="1:1">
      <c r="A843" s="15"/>
    </row>
    <row r="844" spans="1:1">
      <c r="A844" s="15"/>
    </row>
    <row r="845" spans="1:1">
      <c r="A845" s="15"/>
    </row>
    <row r="846" spans="1:1">
      <c r="A846" s="15"/>
    </row>
    <row r="847" spans="1:1">
      <c r="A847" s="15"/>
    </row>
    <row r="848" spans="1:1">
      <c r="A848" s="15"/>
    </row>
    <row r="849" spans="1:1">
      <c r="A849" s="15"/>
    </row>
    <row r="850" spans="1:1">
      <c r="A850" s="15"/>
    </row>
    <row r="851" spans="1:1">
      <c r="A851" s="15"/>
    </row>
    <row r="852" spans="1:1">
      <c r="A852" s="15"/>
    </row>
    <row r="853" spans="1:1">
      <c r="A853" s="15"/>
    </row>
    <row r="854" spans="1:1">
      <c r="A854" s="15"/>
    </row>
    <row r="855" spans="1:1">
      <c r="A855" s="15"/>
    </row>
    <row r="856" spans="1:1">
      <c r="A856" s="15"/>
    </row>
    <row r="857" spans="1:1">
      <c r="A857" s="15"/>
    </row>
    <row r="858" spans="1:1">
      <c r="A858" s="15"/>
    </row>
    <row r="859" spans="1:1">
      <c r="A859" s="15"/>
    </row>
    <row r="860" spans="1:1">
      <c r="A860" s="15"/>
    </row>
    <row r="861" spans="1:1">
      <c r="A861" s="15"/>
    </row>
    <row r="862" spans="1:1">
      <c r="A862" s="15"/>
    </row>
    <row r="863" spans="1:1">
      <c r="A863" s="15"/>
    </row>
    <row r="864" spans="1:1">
      <c r="A864" s="15"/>
    </row>
    <row r="865" spans="1:1">
      <c r="A865" s="15"/>
    </row>
    <row r="866" spans="1:1">
      <c r="A866" s="15"/>
    </row>
    <row r="867" spans="1:1">
      <c r="A867" s="15"/>
    </row>
    <row r="868" spans="1:1">
      <c r="A868" s="15"/>
    </row>
    <row r="869" spans="1:1">
      <c r="A869" s="15"/>
    </row>
    <row r="870" spans="1:1">
      <c r="A870" s="15"/>
    </row>
    <row r="871" spans="1:1">
      <c r="A871" s="15"/>
    </row>
    <row r="872" spans="1:1">
      <c r="A872" s="15"/>
    </row>
    <row r="873" spans="1:1">
      <c r="A873" s="15"/>
    </row>
    <row r="874" spans="1:1">
      <c r="A874" s="15"/>
    </row>
    <row r="875" spans="1:1">
      <c r="A875" s="15"/>
    </row>
    <row r="876" spans="1:1">
      <c r="A876" s="15"/>
    </row>
    <row r="877" spans="1:1">
      <c r="A877" s="15"/>
    </row>
    <row r="878" spans="1:1">
      <c r="A878" s="15"/>
    </row>
    <row r="879" spans="1:1">
      <c r="A879" s="15"/>
    </row>
    <row r="880" spans="1:1">
      <c r="A880" s="15"/>
    </row>
    <row r="881" spans="1:1">
      <c r="A881" s="15"/>
    </row>
    <row r="882" spans="1:1">
      <c r="A882" s="15"/>
    </row>
    <row r="883" spans="1:1">
      <c r="A883" s="15"/>
    </row>
    <row r="884" spans="1:1">
      <c r="A884" s="15"/>
    </row>
    <row r="885" spans="1:1">
      <c r="A885" s="15"/>
    </row>
    <row r="886" spans="1:1">
      <c r="A886" s="15"/>
    </row>
    <row r="887" spans="1:1">
      <c r="A887" s="15"/>
    </row>
    <row r="888" spans="1:1">
      <c r="A888" s="15"/>
    </row>
    <row r="889" spans="1:1">
      <c r="A889" s="15"/>
    </row>
    <row r="890" spans="1:1">
      <c r="A890" s="15"/>
    </row>
    <row r="891" spans="1:1">
      <c r="A891" s="15"/>
    </row>
    <row r="892" spans="1:1">
      <c r="A892" s="15"/>
    </row>
    <row r="893" spans="1:1">
      <c r="A893" s="15"/>
    </row>
    <row r="894" spans="1:1">
      <c r="A894" s="15"/>
    </row>
    <row r="895" spans="1:1">
      <c r="A895" s="15"/>
    </row>
    <row r="896" spans="1:1">
      <c r="A896" s="15"/>
    </row>
    <row r="897" spans="1:1">
      <c r="A897" s="15"/>
    </row>
    <row r="898" spans="1:1">
      <c r="A898" s="15"/>
    </row>
    <row r="899" spans="1:1">
      <c r="A899" s="15"/>
    </row>
    <row r="900" spans="1:1">
      <c r="A900" s="15"/>
    </row>
    <row r="901" spans="1:1">
      <c r="A901" s="15"/>
    </row>
    <row r="902" spans="1:1">
      <c r="A902" s="15"/>
    </row>
    <row r="903" spans="1:1">
      <c r="A903" s="15"/>
    </row>
    <row r="904" spans="1:1">
      <c r="A904" s="15"/>
    </row>
    <row r="905" spans="1:1">
      <c r="A905" s="15"/>
    </row>
    <row r="906" spans="1:1">
      <c r="A906" s="15"/>
    </row>
    <row r="907" spans="1:1">
      <c r="A907" s="15"/>
    </row>
    <row r="908" spans="1:1">
      <c r="A908" s="15"/>
    </row>
    <row r="909" spans="1:1">
      <c r="A909" s="15"/>
    </row>
    <row r="910" spans="1:1">
      <c r="A910" s="15"/>
    </row>
    <row r="911" spans="1:1">
      <c r="A911" s="15"/>
    </row>
    <row r="912" spans="1:1">
      <c r="A912" s="15"/>
    </row>
    <row r="913" spans="1:1">
      <c r="A913" s="15"/>
    </row>
    <row r="914" spans="1:1">
      <c r="A914" s="15"/>
    </row>
    <row r="915" spans="1:1">
      <c r="A915" s="15"/>
    </row>
    <row r="916" spans="1:1">
      <c r="A916" s="15"/>
    </row>
    <row r="917" spans="1:1">
      <c r="A917" s="15"/>
    </row>
    <row r="918" spans="1:1">
      <c r="A918" s="15"/>
    </row>
    <row r="919" spans="1:1">
      <c r="A919" s="15"/>
    </row>
    <row r="920" spans="1:1">
      <c r="A920" s="15"/>
    </row>
    <row r="921" spans="1:1">
      <c r="A921" s="15"/>
    </row>
    <row r="922" spans="1:1">
      <c r="A922" s="15"/>
    </row>
    <row r="923" spans="1:1">
      <c r="A923" s="15"/>
    </row>
    <row r="924" spans="1:1">
      <c r="A924" s="15"/>
    </row>
    <row r="925" spans="1:1">
      <c r="A925" s="15"/>
    </row>
    <row r="926" spans="1:1">
      <c r="A926" s="15"/>
    </row>
    <row r="927" spans="1:1">
      <c r="A927" s="15"/>
    </row>
    <row r="928" spans="1:1">
      <c r="A928" s="15"/>
    </row>
    <row r="929" spans="1:1">
      <c r="A929" s="15"/>
    </row>
    <row r="930" spans="1:1">
      <c r="A930" s="15"/>
    </row>
    <row r="931" spans="1:1">
      <c r="A931" s="15"/>
    </row>
    <row r="932" spans="1:1">
      <c r="A932" s="15"/>
    </row>
    <row r="933" spans="1:1">
      <c r="A933" s="15"/>
    </row>
    <row r="934" spans="1:1">
      <c r="A934" s="15"/>
    </row>
    <row r="935" spans="1:1">
      <c r="A935" s="15"/>
    </row>
    <row r="936" spans="1:1">
      <c r="A936" s="15"/>
    </row>
    <row r="937" spans="1:1">
      <c r="A937" s="15"/>
    </row>
    <row r="938" spans="1:1">
      <c r="A938" s="15"/>
    </row>
    <row r="939" spans="1:1">
      <c r="A939" s="15"/>
    </row>
    <row r="940" spans="1:1">
      <c r="A940" s="15"/>
    </row>
    <row r="941" spans="1:1">
      <c r="A941" s="15"/>
    </row>
    <row r="942" spans="1:1">
      <c r="A942" s="15"/>
    </row>
    <row r="943" spans="1:1">
      <c r="A943" s="15"/>
    </row>
    <row r="944" spans="1:1">
      <c r="A944" s="15"/>
    </row>
    <row r="945" spans="1:1">
      <c r="A945" s="15"/>
    </row>
    <row r="946" spans="1:1">
      <c r="A946" s="15"/>
    </row>
    <row r="947" spans="1:1">
      <c r="A947" s="15"/>
    </row>
    <row r="948" spans="1:1">
      <c r="A948" s="15"/>
    </row>
    <row r="949" spans="1:1">
      <c r="A949" s="15"/>
    </row>
    <row r="950" spans="1:1">
      <c r="A950" s="15"/>
    </row>
    <row r="951" spans="1:1">
      <c r="A951" s="15"/>
    </row>
    <row r="952" spans="1:1">
      <c r="A952" s="15"/>
    </row>
    <row r="953" spans="1:1">
      <c r="A953" s="15"/>
    </row>
    <row r="954" spans="1:1">
      <c r="A954" s="15"/>
    </row>
    <row r="955" spans="1:1">
      <c r="A955" s="15"/>
    </row>
    <row r="956" spans="1:1">
      <c r="A956" s="15"/>
    </row>
    <row r="957" spans="1:1">
      <c r="A957" s="15"/>
    </row>
    <row r="958" spans="1:1">
      <c r="A958" s="15"/>
    </row>
    <row r="959" spans="1:1">
      <c r="A959" s="15"/>
    </row>
    <row r="960" spans="1:1">
      <c r="A960" s="15"/>
    </row>
    <row r="961" spans="1:1">
      <c r="A961" s="15"/>
    </row>
    <row r="962" spans="1:1">
      <c r="A962" s="15"/>
    </row>
    <row r="963" spans="1:1">
      <c r="A963" s="15"/>
    </row>
    <row r="964" spans="1:1">
      <c r="A964" s="15"/>
    </row>
    <row r="965" spans="1:1">
      <c r="A965" s="15"/>
    </row>
    <row r="966" spans="1:1">
      <c r="A966" s="15"/>
    </row>
    <row r="967" spans="1:1">
      <c r="A967" s="15"/>
    </row>
    <row r="968" spans="1:1">
      <c r="A968" s="15"/>
    </row>
    <row r="969" spans="1:1">
      <c r="A969" s="15"/>
    </row>
    <row r="970" spans="1:1">
      <c r="A970" s="15"/>
    </row>
    <row r="971" spans="1:1">
      <c r="A971" s="15"/>
    </row>
    <row r="972" spans="1:1">
      <c r="A972" s="15"/>
    </row>
    <row r="973" spans="1:1">
      <c r="A973" s="15"/>
    </row>
    <row r="974" spans="1:1">
      <c r="A974" s="15"/>
    </row>
    <row r="975" spans="1:1">
      <c r="A975" s="15"/>
    </row>
    <row r="976" spans="1:1">
      <c r="A976" s="15"/>
    </row>
    <row r="977" spans="1:1">
      <c r="A977" s="15"/>
    </row>
    <row r="978" spans="1:1">
      <c r="A978" s="15"/>
    </row>
    <row r="979" spans="1:1">
      <c r="A979" s="15"/>
    </row>
    <row r="980" spans="1:1">
      <c r="A980" s="15"/>
    </row>
    <row r="981" spans="1:1">
      <c r="A981" s="15"/>
    </row>
    <row r="982" spans="1:1">
      <c r="A982" s="15"/>
    </row>
    <row r="983" spans="1:1">
      <c r="A983" s="15"/>
    </row>
    <row r="984" spans="1:1">
      <c r="A984" s="15"/>
    </row>
    <row r="985" spans="1:1">
      <c r="A985" s="15"/>
    </row>
    <row r="986" spans="1:1">
      <c r="A986" s="15"/>
    </row>
    <row r="987" spans="1:1">
      <c r="A987" s="15"/>
    </row>
    <row r="988" spans="1:1">
      <c r="A988" s="15"/>
    </row>
    <row r="989" spans="1:1">
      <c r="A989" s="15"/>
    </row>
    <row r="990" spans="1:1">
      <c r="A990" s="15"/>
    </row>
    <row r="991" spans="1:1">
      <c r="A991" s="15"/>
    </row>
    <row r="992" spans="1:1">
      <c r="A992" s="15"/>
    </row>
    <row r="993" spans="1:1">
      <c r="A993" s="15"/>
    </row>
    <row r="994" spans="1:1">
      <c r="A994" s="15"/>
    </row>
    <row r="995" spans="1:1">
      <c r="A995" s="15"/>
    </row>
    <row r="996" spans="1:1">
      <c r="A996" s="15"/>
    </row>
    <row r="997" spans="1:1">
      <c r="A997" s="15"/>
    </row>
    <row r="998" spans="1:1">
      <c r="A998" s="15"/>
    </row>
    <row r="999" spans="1:1">
      <c r="A999" s="15"/>
    </row>
    <row r="1000" spans="1:1">
      <c r="A1000" s="15"/>
    </row>
    <row r="1001" spans="1:1">
      <c r="A1001" s="15"/>
    </row>
    <row r="1002" spans="1:1">
      <c r="A100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Кредиты физ лицам 2025 год по м</vt:lpstr>
      <vt:lpstr>Анализ</vt:lpstr>
      <vt:lpstr>Объем кредитов по регионам</vt:lpstr>
      <vt:lpstr>Доля регионов в объеме кредитов</vt:lpstr>
      <vt:lpstr>Объем и задолженность по округа</vt:lpstr>
      <vt:lpstr>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Шевченко</cp:lastModifiedBy>
  <dcterms:modified xsi:type="dcterms:W3CDTF">2026-03-21T11:16:39Z</dcterms:modified>
</cp:coreProperties>
</file>